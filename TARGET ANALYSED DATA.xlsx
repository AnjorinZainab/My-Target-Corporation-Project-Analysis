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Ex1.xml" ContentType="application/vnd.ms-office.chartex+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persons/person0.xml" ContentType="application/vnd.ms-excel.person+xml"/>
  <Override PartName="/xl/persons/person1.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C:\Users\hadey\Downloads\"/>
    </mc:Choice>
  </mc:AlternateContent>
  <xr:revisionPtr revIDLastSave="0" documentId="8_{7BAE400F-E103-4AFA-8FB5-471A65425A80}" xr6:coauthVersionLast="47" xr6:coauthVersionMax="47" xr10:uidLastSave="{00000000-0000-0000-0000-000000000000}"/>
  <bookViews>
    <workbookView xWindow="-110" yWindow="-110" windowWidth="19420" windowHeight="11020" tabRatio="862" firstSheet="2" activeTab="3" xr2:uid="{00000000-000D-0000-FFFF-FFFF00000000}"/>
  </bookViews>
  <sheets>
    <sheet name="Pivot Table Diagram" sheetId="4" r:id="rId1"/>
    <sheet name="Task" sheetId="15" r:id="rId2"/>
    <sheet name="Data (2)" sheetId="17" r:id="rId3"/>
    <sheet name="Pre-Analysis Board" sheetId="18" r:id="rId4"/>
    <sheet name="SALES TREND REPORT" sheetId="19" r:id="rId5"/>
    <sheet name="TOP 10 CUSTOMERS" sheetId="22" r:id="rId6"/>
    <sheet name="SALES BY REP" sheetId="23" r:id="rId7"/>
    <sheet name="SALES BY REGION" sheetId="24" r:id="rId8"/>
    <sheet name="SALES BY PRODUCT CATEGORY" sheetId="26" r:id="rId9"/>
    <sheet name="TOP 5 CITIES BY REVENUE" sheetId="27" r:id="rId10"/>
    <sheet name="STATE PERFORMANCE" sheetId="30" r:id="rId11"/>
    <sheet name="TOP 6 SHIP CITIES BY REVENUE " sheetId="29" r:id="rId12"/>
    <sheet name="TRANSACTION BY AMOUNT" sheetId="31" r:id="rId13"/>
    <sheet name="DASHBOARD SKETCH" sheetId="32" r:id="rId14"/>
    <sheet name="In-Analysis Board" sheetId="20" r:id="rId15"/>
    <sheet name="DASHBOARD INTERFACE" sheetId="33" r:id="rId16"/>
    <sheet name="Post Analysis Board" sheetId="34" r:id="rId17"/>
    <sheet name="Screenshot of Final Dashboard" sheetId="35" r:id="rId18"/>
  </sheets>
  <definedNames>
    <definedName name="_xlnm._FilterDatabase" localSheetId="2" hidden="1">'Data (2)'!$A$1:$Z$370</definedName>
    <definedName name="_xlchart.v1.10" hidden="1">'TOP 6 SHIP CITIES BY REVENUE '!$D$4:$D$9</definedName>
    <definedName name="_xlchart.v1.11" hidden="1">'TOP 6 SHIP CITIES BY REVENUE '!$E$4:$E$9</definedName>
    <definedName name="_xlchart.v1.4" hidden="1">'TOP 6 SHIP CITIES BY REVENUE '!$D$4:$D$9</definedName>
    <definedName name="_xlchart.v1.5" hidden="1">'TOP 6 SHIP CITIES BY REVENUE '!$E$4:$E$9</definedName>
    <definedName name="_xlchart.v5.0" hidden="1">'STATE PERFORMANCE'!$D$3</definedName>
    <definedName name="_xlchart.v5.1" hidden="1">'STATE PERFORMANCE'!$D$4:$D$15</definedName>
    <definedName name="_xlchart.v5.2" hidden="1">'STATE PERFORMANCE'!$E$3</definedName>
    <definedName name="_xlchart.v5.3" hidden="1">'STATE PERFORMANCE'!$E$4:$E$15</definedName>
    <definedName name="_xlchart.v5.6" hidden="1">'STATE PERFORMANCE'!$D$3</definedName>
    <definedName name="_xlchart.v5.7" hidden="1">'STATE PERFORMANCE'!$D$4:$D$15</definedName>
    <definedName name="_xlchart.v5.8" hidden="1">'STATE PERFORMANCE'!$E$3</definedName>
    <definedName name="_xlchart.v5.9" hidden="1">'STATE PERFORMANCE'!$E$4:$E$15</definedName>
    <definedName name="Slicer_Product_Name">#N/A</definedName>
    <definedName name="Slicer_Salesperson">#N/A</definedName>
  </definedNames>
  <calcPr calcId="191029"/>
  <pivotCaches>
    <pivotCache cacheId="0" r:id="rId19"/>
  </pivotCaches>
  <extLs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<sst xmlns="http://schemas.openxmlformats.org/spreadsheetml/2006/main" count="5928" uniqueCount="197">
  <si>
    <t>Order ID</t>
  </si>
  <si>
    <t>Order Date</t>
  </si>
  <si>
    <t>Customer ID</t>
  </si>
  <si>
    <t>Customer Name</t>
  </si>
  <si>
    <t>Address</t>
  </si>
  <si>
    <t>City</t>
  </si>
  <si>
    <t>State</t>
  </si>
  <si>
    <t>ZIP/Postal Code</t>
  </si>
  <si>
    <t>Country/Region</t>
  </si>
  <si>
    <t>Salesperson</t>
  </si>
  <si>
    <t>Region</t>
  </si>
  <si>
    <t>Shipped Date</t>
  </si>
  <si>
    <t>Shipper Name</t>
  </si>
  <si>
    <t>Ship Name</t>
  </si>
  <si>
    <t>Ship Address</t>
  </si>
  <si>
    <t>Ship City</t>
  </si>
  <si>
    <t>Ship State</t>
  </si>
  <si>
    <t>Ship ZIP/Postal Code</t>
  </si>
  <si>
    <t>Ship Country/Region</t>
  </si>
  <si>
    <t>Payment Type</t>
  </si>
  <si>
    <t>Product Name</t>
  </si>
  <si>
    <t>Category</t>
  </si>
  <si>
    <t>Unit Price</t>
  </si>
  <si>
    <t>Quantity</t>
  </si>
  <si>
    <t>Revenue</t>
  </si>
  <si>
    <t>Shipping Fee</t>
  </si>
  <si>
    <t>Company AA</t>
  </si>
  <si>
    <t>789 27th Street</t>
  </si>
  <si>
    <t>Las Vegas</t>
  </si>
  <si>
    <t>NV</t>
  </si>
  <si>
    <t>USA</t>
  </si>
  <si>
    <t>Mariya Sergienko</t>
  </si>
  <si>
    <t>West</t>
  </si>
  <si>
    <t>Shipping Company B</t>
  </si>
  <si>
    <t>Karen Toh</t>
  </si>
  <si>
    <t>Check</t>
  </si>
  <si>
    <t>Beer</t>
  </si>
  <si>
    <t>Beverages</t>
  </si>
  <si>
    <t>Dried Plums</t>
  </si>
  <si>
    <t>Dried Fruit &amp; Nuts</t>
  </si>
  <si>
    <t>Company D</t>
  </si>
  <si>
    <t>123 4th Street</t>
  </si>
  <si>
    <t>New York</t>
  </si>
  <si>
    <t>NY</t>
  </si>
  <si>
    <t>Andrew Cencini</t>
  </si>
  <si>
    <t>East</t>
  </si>
  <si>
    <t>Shipping Company A</t>
  </si>
  <si>
    <t>Christina Lee</t>
  </si>
  <si>
    <t>Credit Card</t>
  </si>
  <si>
    <t>Dried Pears</t>
  </si>
  <si>
    <t>Dried Apples</t>
  </si>
  <si>
    <t>Company L</t>
  </si>
  <si>
    <t>123 12th Street</t>
  </si>
  <si>
    <t>John Edwards</t>
  </si>
  <si>
    <t>Chai</t>
  </si>
  <si>
    <t>Coffee</t>
  </si>
  <si>
    <t>Company H</t>
  </si>
  <si>
    <t>123 8th Street</t>
  </si>
  <si>
    <t>Portland</t>
  </si>
  <si>
    <t>OR</t>
  </si>
  <si>
    <t>Nancy Freehafer</t>
  </si>
  <si>
    <t>North</t>
  </si>
  <si>
    <t>Shipping Company C</t>
  </si>
  <si>
    <t>Elizabeth Andersen</t>
  </si>
  <si>
    <t>Chocolate Biscuits Mix</t>
  </si>
  <si>
    <t>Baked Goods &amp; Mixes</t>
  </si>
  <si>
    <t>Company CC</t>
  </si>
  <si>
    <t>789 29th Street</t>
  </si>
  <si>
    <t>Denver</t>
  </si>
  <si>
    <t>CO</t>
  </si>
  <si>
    <t>Jan Kotas</t>
  </si>
  <si>
    <t>Soo Jung Lee</t>
  </si>
  <si>
    <t>Chocolate</t>
  </si>
  <si>
    <t>Candy</t>
  </si>
  <si>
    <t>Company C</t>
  </si>
  <si>
    <t>123 3rd Street</t>
  </si>
  <si>
    <t>Los Angelas</t>
  </si>
  <si>
    <t>CA</t>
  </si>
  <si>
    <t>Thomas Axerr</t>
  </si>
  <si>
    <t>Cash</t>
  </si>
  <si>
    <t>Clam Chowder</t>
  </si>
  <si>
    <t>Soups</t>
  </si>
  <si>
    <t>Company F</t>
  </si>
  <si>
    <t>123 6th Street</t>
  </si>
  <si>
    <t>Milwaukee</t>
  </si>
  <si>
    <t>WI</t>
  </si>
  <si>
    <t>Michael Neipper</t>
  </si>
  <si>
    <t>Francisco Pérez-Olaeta</t>
  </si>
  <si>
    <t>Curry Sauce</t>
  </si>
  <si>
    <t>Sauces</t>
  </si>
  <si>
    <t>Company BB</t>
  </si>
  <si>
    <t>789 28th Street</t>
  </si>
  <si>
    <t>Memphis</t>
  </si>
  <si>
    <t>TN</t>
  </si>
  <si>
    <t>Anne Larsen</t>
  </si>
  <si>
    <t>South</t>
  </si>
  <si>
    <t>Amritansh Raghav</t>
  </si>
  <si>
    <t>Company J</t>
  </si>
  <si>
    <t>123 10th Street</t>
  </si>
  <si>
    <t>Chicago</t>
  </si>
  <si>
    <t>IL</t>
  </si>
  <si>
    <t>Laura Giussani</t>
  </si>
  <si>
    <t>Roland Wacker</t>
  </si>
  <si>
    <t>Green Tea</t>
  </si>
  <si>
    <t>Company G</t>
  </si>
  <si>
    <t>123 7th Street</t>
  </si>
  <si>
    <t>Boise</t>
  </si>
  <si>
    <t>ID</t>
  </si>
  <si>
    <t>Ming-Yang Xie</t>
  </si>
  <si>
    <t>Boysenberry Spread</t>
  </si>
  <si>
    <t>Jams, Preserves</t>
  </si>
  <si>
    <t>Cajun Seasoning</t>
  </si>
  <si>
    <t>Condiments</t>
  </si>
  <si>
    <t>Company K</t>
  </si>
  <si>
    <t>123 11th Street</t>
  </si>
  <si>
    <t>Miami</t>
  </si>
  <si>
    <t>FL</t>
  </si>
  <si>
    <t>Peter Krschne</t>
  </si>
  <si>
    <t>Company A</t>
  </si>
  <si>
    <t>123 1st Street</t>
  </si>
  <si>
    <t>Seattle</t>
  </si>
  <si>
    <t>WA</t>
  </si>
  <si>
    <t>Anna Bedecs</t>
  </si>
  <si>
    <t>Crab Meat</t>
  </si>
  <si>
    <t>Canned Meat</t>
  </si>
  <si>
    <t>Company I</t>
  </si>
  <si>
    <t>123 9th Street</t>
  </si>
  <si>
    <t>Salt Lake City</t>
  </si>
  <si>
    <t>UT</t>
  </si>
  <si>
    <t>Robert Zare</t>
  </si>
  <si>
    <t>Sven Mortensen</t>
  </si>
  <si>
    <t>Ravioli</t>
  </si>
  <si>
    <t>Pasta</t>
  </si>
  <si>
    <t>Mozzarella</t>
  </si>
  <si>
    <t>Dairy Products</t>
  </si>
  <si>
    <t>Syrup</t>
  </si>
  <si>
    <t>Almonds</t>
  </si>
  <si>
    <t>Company Y</t>
  </si>
  <si>
    <t>789 25th Street</t>
  </si>
  <si>
    <t>John Rodman</t>
  </si>
  <si>
    <t>Company Z</t>
  </si>
  <si>
    <t>789 26th Street</t>
  </si>
  <si>
    <t>Run Liu</t>
  </si>
  <si>
    <t>Fruit Cocktail</t>
  </si>
  <si>
    <t>Fruit &amp; Veg</t>
  </si>
  <si>
    <t>Gnocchi</t>
  </si>
  <si>
    <t>Scones</t>
  </si>
  <si>
    <t>Olive Oil</t>
  </si>
  <si>
    <t>Oil</t>
  </si>
  <si>
    <t>Marmalade</t>
  </si>
  <si>
    <t>Long Grain Rice</t>
  </si>
  <si>
    <t>Grains</t>
  </si>
  <si>
    <t>Source:</t>
  </si>
  <si>
    <t>Article:</t>
  </si>
  <si>
    <t>How Do Pivot Tables Work?</t>
  </si>
  <si>
    <t>http://www.excelcampus.com/pivot-tables/pivot-tables-work/</t>
  </si>
  <si>
    <t>Sales trend report</t>
  </si>
  <si>
    <t>Top 10 customers</t>
  </si>
  <si>
    <t>Sales by Rep</t>
  </si>
  <si>
    <t>Sales by Region</t>
  </si>
  <si>
    <t>Transaction by Amount.</t>
  </si>
  <si>
    <t>DATA ANALYST TASK LIST</t>
  </si>
  <si>
    <t>Analyze the sales data for 2014 and provide report for capturing the items listed below. An excellent report would aid management make strategic decisions for the coming year.</t>
  </si>
  <si>
    <t xml:space="preserve">Shipping Fee </t>
  </si>
  <si>
    <t xml:space="preserve">Sales By Product category </t>
  </si>
  <si>
    <t xml:space="preserve">Top 6 ship cities by revenue </t>
  </si>
  <si>
    <t xml:space="preserve">Top 5 cities By revenue </t>
  </si>
  <si>
    <t>NAME: ANJORIN ZAINAB OLADUNJOYE</t>
  </si>
  <si>
    <t>STUDENT ID: VEPH/50A/DA089</t>
  </si>
  <si>
    <t>Task 14 - Pre-Analysis Strategy</t>
  </si>
  <si>
    <t>Row Labels</t>
  </si>
  <si>
    <t>Grand Total</t>
  </si>
  <si>
    <t>Jan</t>
  </si>
  <si>
    <t>Feb</t>
  </si>
  <si>
    <t>Mar</t>
  </si>
  <si>
    <t>Apr</t>
  </si>
  <si>
    <t>May</t>
  </si>
  <si>
    <t>Jun</t>
  </si>
  <si>
    <t>Jul</t>
  </si>
  <si>
    <t>Aug</t>
  </si>
  <si>
    <t>Sep</t>
  </si>
  <si>
    <t>Oct</t>
  </si>
  <si>
    <t>Nov</t>
  </si>
  <si>
    <t>Dec</t>
  </si>
  <si>
    <t>Sum of Revenue</t>
  </si>
  <si>
    <t>Task 15 - Rewatch &amp; Rebuild — Viz and Insights' Replication</t>
  </si>
  <si>
    <t>State performance</t>
  </si>
  <si>
    <t>Ship Cities</t>
  </si>
  <si>
    <t>0-1000</t>
  </si>
  <si>
    <t>1000-2000</t>
  </si>
  <si>
    <t>2000-3000</t>
  </si>
  <si>
    <t>3000-4000</t>
  </si>
  <si>
    <t>4000-5000</t>
  </si>
  <si>
    <t>6000-7000</t>
  </si>
  <si>
    <t>7000-8000</t>
  </si>
  <si>
    <t>Count of Revenue</t>
  </si>
  <si>
    <t>Task 21 - DASHBOARD REPLICATION 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</si>
</sst>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mm/dd/yy;@"/>
    <numFmt numFmtId="165" formatCode="&quot;$&quot;#,##0.00"/>
  </numFmts>
  <fonts count="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2"/>
      <color theme="1"/>
      <name val="Calibri"/>
      <family val="2"/>
      <scheme val="minor"/>
    </font>
    <font>
      <sz val="16"/>
      <color theme="1"/>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s>
  <cellStyleXfs count="3">
    <xf numFmtId="0" fontId="0" fillId="0" borderId="0"/>
    <xf numFmtId="44" fontId="1" fillId="0" borderId="0" applyFont="0" applyFill="0" applyBorder="0" applyAlignment="0" applyProtection="0"/>
    <xf numFmtId="0" fontId="3" fillId="0" borderId="0" applyNumberFormat="0" applyFill="0" applyBorder="0" applyAlignment="0" applyProtection="0"/>
  </cellStyleXfs>
  <cellXfs count="15">
    <xf numFmtId="0" fontId="0" fillId="0" borderId="0" xfId="0"/>
    <xf numFmtId="0" fontId="2" fillId="2" borderId="0" xfId="0" applyFont="1" applyFill="1"/>
    <xf numFmtId="164" fontId="0" fillId="0" borderId="0" xfId="0" applyNumberFormat="1"/>
    <xf numFmtId="165" fontId="0" fillId="0" borderId="0" xfId="0" applyNumberFormat="1"/>
    <xf numFmtId="165" fontId="0" fillId="0" borderId="0" xfId="1" applyNumberFormat="1" applyFont="1"/>
    <xf numFmtId="0" fontId="3" fillId="0" borderId="0" xfId="2"/>
    <xf numFmtId="0" fontId="2" fillId="0" borderId="0" xfId="0" applyFont="1"/>
    <xf numFmtId="0" fontId="5" fillId="3" borderId="0" xfId="0" applyFont="1" applyFill="1"/>
    <xf numFmtId="0" fontId="5" fillId="4" borderId="1" xfId="0" applyFont="1" applyFill="1" applyBorder="1"/>
    <xf numFmtId="0" fontId="4" fillId="0" borderId="0" xfId="0" applyFont="1" applyAlignment="1">
      <alignment vertical="center" wrapText="1"/>
    </xf>
    <xf numFmtId="0" fontId="0" fillId="0" borderId="0" xfId="0" pivotButton="1"/>
    <xf numFmtId="0" fontId="0" fillId="0" borderId="0" xfId="0" applyAlignment="1">
      <alignment horizontal="left"/>
    </xf>
    <xf numFmtId="10" fontId="0" fillId="0" borderId="0" xfId="0" applyNumberFormat="1"/>
    <xf numFmtId="0" fontId="2" fillId="5" borderId="2" xfId="0" applyFont="1" applyFill="1" applyBorder="1"/>
    <xf numFmtId="165" fontId="0" fillId="0" borderId="0" xfId="0" applyNumberFormat="1" applyAlignment="1">
      <alignment horizontal="left"/>
    </xf>
  </cellXfs>
  <cellStyles count="3">
    <cellStyle name="Currency" xfId="1" builtinId="4"/>
    <cellStyle name="Hyperlink" xfId="2" builtinId="8"/>
    <cellStyle name="Normal" xfId="0" builtinId="0"/>
  </cellStyles>
  <dxfs count="4">
    <dxf>
      <font>
        <b/>
        <color theme="1"/>
      </font>
      <border diagonalUp="0" diagonalDown="0">
        <left/>
        <right/>
        <top/>
        <bottom/>
        <vertical/>
        <horizontal/>
      </border>
    </dxf>
    <dxf>
      <font>
        <sz val="12"/>
        <color theme="1"/>
        <name val="Arial"/>
        <family val="2"/>
        <scheme val="none"/>
      </font>
      <border diagonalUp="0" diagonalDown="0">
        <left/>
        <right/>
        <top/>
        <bottom/>
        <vertical/>
        <horizontal/>
      </border>
    </dxf>
    <dxf>
      <font>
        <b/>
        <color theme="1"/>
      </font>
      <fill>
        <patternFill>
          <fgColor theme="0"/>
          <bgColor rgb="FFFFFFFF"/>
        </patternFill>
      </fill>
      <border diagonalUp="0" diagonalDown="0">
        <left/>
        <right/>
        <top/>
        <bottom/>
        <vertical/>
        <horizontal/>
      </border>
    </dxf>
    <dxf>
      <font>
        <sz val="12"/>
        <color theme="1"/>
        <name val="Arial"/>
        <family val="2"/>
        <scheme val="none"/>
      </font>
      <fill>
        <patternFill>
          <fgColor theme="0"/>
          <bgColor rgb="FFFFFFFF"/>
        </patternFill>
      </fill>
      <border diagonalUp="0" diagonalDown="0">
        <left/>
        <right/>
        <top/>
        <bottom/>
        <vertical/>
        <horizontal/>
      </border>
    </dxf>
  </dxfs>
  <tableStyles count="2" defaultTableStyle="TableStyleMedium2" defaultPivotStyle="PivotStyleLight16">
    <tableStyle name="SlicerStyleDark6 2" pivot="0" table="0" count="10" xr9:uid="{41AF834B-63B1-418E-80BA-2D5B85D06C2B}">
      <tableStyleElement type="wholeTable" dxfId="3"/>
      <tableStyleElement type="headerRow" dxfId="2"/>
    </tableStyle>
    <tableStyle name="SlicerStyleLight3 2" pivot="0" table="0" count="10" xr9:uid="{45B8344E-4AA6-4E8D-9458-E41F7904A6A5}">
      <tableStyleElement type="wholeTable" dxfId="1"/>
      <tableStyleElement type="headerRow" dxfId="0"/>
    </tableStyle>
  </tableStyles>
  <colors>
    <mruColors>
      <color rgb="FFC0C0C0"/>
      <color rgb="FF365422"/>
      <color rgb="FFC0DEAC"/>
      <color rgb="FF3C5D25"/>
      <color rgb="FFFFFFFF"/>
      <color rgb="FFEAF4E4"/>
      <color rgb="FFE6F2DE"/>
      <color rgb="FFBFDDAB"/>
      <color rgb="FF1B311D"/>
      <color rgb="FF91C46E"/>
    </mruColors>
  </colors>
  <extLst>
    <ext xmlns:x14="http://schemas.microsoft.com/office/spreadsheetml/2009/9/main" uri="{46F421CA-312F-682f-3DD2-61675219B42D}">
      <x14:dxfs count="16">
        <dxf>
          <font>
            <color theme="0"/>
          </font>
          <fill>
            <patternFill patternType="solid">
              <fgColor auto="1"/>
              <bgColor rgb="FFC0DEAC"/>
            </patternFill>
          </fill>
          <border diagonalUp="0" diagonalDown="0">
            <left/>
            <right/>
            <top/>
            <bottom/>
            <vertical/>
            <horizontal/>
          </border>
        </dxf>
        <dxf>
          <font>
            <color theme="0"/>
          </font>
          <fill>
            <patternFill patternType="solid">
              <fgColor auto="1"/>
              <bgColor rgb="FFC0DEAC"/>
            </patternFill>
          </fill>
          <border diagonalUp="0" diagonalDown="0">
            <left/>
            <right/>
            <top/>
            <bottom/>
            <vertical/>
            <horizontal/>
          </border>
        </dxf>
        <dxf>
          <font>
            <color theme="0"/>
          </font>
          <fill>
            <patternFill patternType="solid">
              <fgColor auto="1"/>
              <bgColor rgb="FFC0DEAC"/>
            </patternFill>
          </fill>
          <border diagonalUp="0" diagonalDown="0">
            <left/>
            <right/>
            <top/>
            <bottom/>
            <vertical/>
            <horizontal/>
          </border>
        </dxf>
        <dxf>
          <font>
            <color theme="0"/>
          </font>
          <fill>
            <patternFill patternType="solid">
              <fgColor auto="1"/>
              <bgColor rgb="FFC0DEAC"/>
            </patternFill>
          </fill>
          <border diagonalUp="0" diagonalDown="0">
            <left/>
            <right/>
            <top/>
            <bottom/>
            <vertical/>
            <horizontal/>
          </border>
        </dxf>
        <dxf>
          <font>
            <color theme="0"/>
            <name val="Amasi MT PRO"/>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6" tint="0.59999389629810485"/>
              <bgColor theme="6" tint="0.5999938962981048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FFFFFF"/>
            </patternFill>
          </fill>
          <border diagonalUp="0" diagonalDown="0">
            <left/>
            <right/>
            <top/>
            <bottom/>
            <vertical/>
            <horizontal/>
          </border>
        </dxf>
        <dxf>
          <font>
            <color rgb="FF000000"/>
          </font>
          <fill>
            <patternFill patternType="solid">
              <fgColor rgb="FFBFDDAB"/>
              <bgColor auto="1"/>
            </patternFill>
          </fill>
          <border diagonalUp="0" diagonalDown="0">
            <left/>
            <right/>
            <top/>
            <bottom/>
            <vertical/>
            <horizontal/>
          </border>
        </dxf>
        <dxf>
          <font>
            <color rgb="FF000000"/>
          </font>
          <fill>
            <patternFill patternType="solid">
              <fgColor rgb="FFBFDDAB"/>
              <bgColor auto="1"/>
            </patternFill>
          </fill>
          <border diagonalUp="0" diagonalDown="0">
            <left/>
            <right/>
            <top/>
            <bottom/>
            <vertical/>
            <horizontal/>
          </border>
        </dxf>
        <dxf>
          <font>
            <color rgb="FF000000"/>
          </font>
          <fill>
            <patternFill patternType="solid">
              <fgColor rgb="FFBFDDAB"/>
              <bgColor auto="1"/>
            </patternFill>
          </fill>
          <border diagonalUp="0" diagonalDown="0">
            <left/>
            <right/>
            <top/>
            <bottom/>
            <vertical/>
            <horizontal/>
          </border>
        </dxf>
        <dxf>
          <font>
            <color rgb="FF000000"/>
          </font>
          <fill>
            <patternFill patternType="solid">
              <fgColor theme="0"/>
              <bgColor auto="1"/>
            </patternFill>
          </fill>
          <border diagonalUp="0" diagonalDown="0">
            <left/>
            <right/>
            <top/>
            <bottom/>
            <vertical/>
            <horizontal/>
          </border>
        </dxf>
        <dxf>
          <font>
            <color theme="9" tint="-0.249977111117893"/>
          </font>
          <fill>
            <patternFill patternType="solid">
              <fgColor rgb="FF365422"/>
              <bgColor theme="9" tint="0.59999389629810485"/>
            </patternFill>
          </fill>
          <border diagonalUp="0" diagonalDown="0">
            <left/>
            <right/>
            <top/>
            <bottom/>
            <vertical/>
            <horizontal/>
          </border>
        </dxf>
        <dxf>
          <font>
            <color theme="0"/>
          </font>
          <fill>
            <patternFill>
              <fgColor rgb="FF365422"/>
              <bgColor rgb="FF365422"/>
            </patternFill>
          </fill>
          <border diagonalUp="0" diagonalDown="0">
            <left/>
            <right/>
            <top/>
            <bottom/>
            <vertical/>
            <horizontal/>
          </border>
        </dxf>
        <dxf>
          <font>
            <color rgb="FF959595"/>
          </font>
          <fill>
            <patternFill patternType="solid">
              <fgColor rgb="FFDFDFDF"/>
              <bgColor rgb="FFDFDFDF"/>
            </patternFill>
          </fill>
          <border diagonalUp="0" diagonalDown="0">
            <left/>
            <right/>
            <top/>
            <bottom/>
            <vertical/>
            <horizontal/>
          </border>
        </dxf>
        <dxf>
          <font>
            <color rgb="FF000000"/>
          </font>
          <fill>
            <patternFill patternType="solid">
              <fgColor rgb="FF365422"/>
              <bgColor rgb="FFC0C0C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0.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10/relationships/person" Target="persons/pers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[TARGET ANALYSED DATA.xlsx]SALES TREND REPORT!PivotTable1</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a:solidFill>
                  <a:schemeClr val="bg2">
                    <a:lumMod val="50000"/>
                  </a:schemeClr>
                </a:solidFill>
                <a:latin typeface="Amasi MT PRO"/>
              </a:rPr>
              <a:t>Sales</a:t>
            </a:r>
            <a:r>
              <a:rPr lang="en-US" sz="1200" b="0" baseline="0">
                <a:solidFill>
                  <a:schemeClr val="bg2">
                    <a:lumMod val="50000"/>
                  </a:schemeClr>
                </a:solidFill>
                <a:latin typeface="Amasi MT PRO"/>
              </a:rPr>
              <a:t> Trend Report</a:t>
            </a:r>
            <a:endParaRPr lang="en-US" sz="1200" b="0">
              <a:solidFill>
                <a:schemeClr val="bg2">
                  <a:lumMod val="50000"/>
                </a:schemeClr>
              </a:solidFill>
              <a:latin typeface="Amasi MT PRO"/>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 REPORT'!$B$3</c:f>
              <c:strCache>
                <c:ptCount val="1"/>
                <c:pt idx="0">
                  <c:v>Total</c:v>
                </c:pt>
              </c:strCache>
            </c:strRef>
          </c:tx>
          <c:spPr>
            <a:ln w="25400" cap="rnd">
              <a:solidFill>
                <a:schemeClr val="accent5">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CFB6-4D81-ABEC-FF4A9CD6696B}"/>
            </c:ext>
          </c:extLst>
        </c:ser>
        <c:dLbls>
          <c:dLblPos val="t"/>
          <c:showLegendKey val="0"/>
          <c:showVal val="1"/>
          <c:showCatName val="0"/>
          <c:showSerName val="0"/>
          <c:showPercent val="0"/>
          <c:showBubbleSize val="0"/>
        </c:dLbls>
        <c:smooth val="0"/>
        <c:axId val="562671407"/>
        <c:axId val="562661327"/>
      </c:lineChart>
      <c:catAx>
        <c:axId val="56267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661327"/>
        <c:crosses val="autoZero"/>
        <c:auto val="1"/>
        <c:lblAlgn val="ctr"/>
        <c:lblOffset val="100"/>
        <c:noMultiLvlLbl val="0"/>
      </c:catAx>
      <c:valAx>
        <c:axId val="562661327"/>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56267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2700">
        <a:schemeClr val="accent1">
          <a:alpha val="35000"/>
        </a:schemeClr>
      </a:glow>
      <a:outerShdw blurRad="50800" dist="50800" dir="11400000" sx="96000" sy="96000" algn="ctr" rotWithShape="0">
        <a:srgbClr val="000000">
          <a:alpha val="73000"/>
        </a:srgb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[TARGET ANALYSED DATA.xlsx]TOP 10 CUSTOMERS!PivotTable1</c:name>
    <c:fmtId val="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0">
                <a:latin typeface="Amasi MT PRO"/>
              </a:rPr>
              <a:t>Top</a:t>
            </a:r>
            <a:r>
              <a:rPr lang="en-US" sz="1200" b="0" baseline="0">
                <a:latin typeface="Amasi MT PRO"/>
              </a:rPr>
              <a:t> 10 Customers by Revenue</a:t>
            </a:r>
            <a:endParaRPr lang="en-US" sz="1200" b="0">
              <a:latin typeface="Amasi MT PRO"/>
            </a:endParaRPr>
          </a:p>
        </c:rich>
      </c:tx>
      <c:layout>
        <c:manualLayout>
          <c:xMode val="edge"/>
          <c:yMode val="edge"/>
          <c:x val="0.33838812061326906"/>
          <c:y val="0"/>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4B75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4B752F"/>
            </a:solidFill>
            <a:round/>
          </a:ln>
          <a:effectLst/>
        </c:spPr>
        <c:marker>
          <c:symbol val="none"/>
        </c:marker>
        <c:dLbl>
          <c:idx val="0"/>
          <c:layout>
            <c:manualLayout>
              <c:x val="0.12765968140365347"/>
              <c:y val="-0.105906313645621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4B752F"/>
            </a:solidFill>
            <a:round/>
          </a:ln>
          <a:effectLst/>
        </c:spPr>
        <c:marker>
          <c:symbol val="none"/>
        </c:marker>
        <c:dLbl>
          <c:idx val="0"/>
          <c:layout>
            <c:manualLayout>
              <c:x val="-8.2978792912374741E-2"/>
              <c:y val="0.146639511201629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4B752F"/>
            </a:solidFill>
            <a:round/>
          </a:ln>
          <a:effectLst/>
        </c:spPr>
        <c:marker>
          <c:symbol val="none"/>
        </c:marker>
        <c:dLbl>
          <c:idx val="0"/>
          <c:layout>
            <c:manualLayout>
              <c:x val="2.978725899418579E-2"/>
              <c:y val="0.175152749490835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4B752F"/>
            </a:solidFill>
            <a:round/>
          </a:ln>
          <a:effectLst/>
        </c:spPr>
        <c:marker>
          <c:symbol val="none"/>
        </c:marker>
        <c:dLbl>
          <c:idx val="0"/>
          <c:layout>
            <c:manualLayout>
              <c:x val="8.7234115625829806E-2"/>
              <c:y val="7.33197556008146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4B752F"/>
            </a:solidFill>
            <a:round/>
          </a:ln>
          <a:effectLst/>
        </c:spPr>
        <c:marker>
          <c:symbol val="none"/>
        </c:marker>
        <c:dLbl>
          <c:idx val="0"/>
          <c:layout>
            <c:manualLayout>
              <c:x val="-9.5744761052740032E-2"/>
              <c:y val="-2.44399185336048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4B752F"/>
            </a:solidFill>
            <a:round/>
          </a:ln>
          <a:effectLst/>
        </c:spPr>
        <c:marker>
          <c:symbol val="none"/>
        </c:marker>
        <c:dLbl>
          <c:idx val="0"/>
          <c:layout>
            <c:manualLayout>
              <c:x val="0.127659681403653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4B752F"/>
            </a:solidFill>
            <a:round/>
          </a:ln>
          <a:effectLst/>
        </c:spPr>
        <c:marker>
          <c:symbol val="none"/>
        </c:marker>
        <c:dLbl>
          <c:idx val="0"/>
          <c:layout>
            <c:manualLayout>
              <c:x val="8.7234115625829806E-2"/>
              <c:y val="-0.175152749490835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4B752F"/>
            </a:solidFill>
            <a:round/>
          </a:ln>
          <a:effectLst/>
        </c:spPr>
        <c:marker>
          <c:symbol val="none"/>
        </c:marker>
        <c:dLbl>
          <c:idx val="0"/>
          <c:layout>
            <c:manualLayout>
              <c:x val="-2.1276613567275562E-3"/>
              <c:y val="-0.244399185336048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4B752F"/>
            </a:solidFill>
            <a:round/>
          </a:ln>
          <a:effectLst/>
        </c:spPr>
        <c:marker>
          <c:symbol val="none"/>
        </c:marker>
        <c:dLbl>
          <c:idx val="0"/>
          <c:layout>
            <c:manualLayout>
              <c:x val="-5.7446856631644019E-2"/>
              <c:y val="-6.51731160896130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32847238102899"/>
          <c:y val="0.14293279022403257"/>
          <c:w val="0.80265555591854243"/>
          <c:h val="0.75442660807928541"/>
        </c:manualLayout>
      </c:layout>
      <c:radarChart>
        <c:radarStyle val="marker"/>
        <c:varyColors val="0"/>
        <c:ser>
          <c:idx val="0"/>
          <c:order val="0"/>
          <c:tx>
            <c:strRef>
              <c:f>'TOP 10 CUSTOMERS'!$B$3</c:f>
              <c:strCache>
                <c:ptCount val="1"/>
                <c:pt idx="0">
                  <c:v>Total</c:v>
                </c:pt>
              </c:strCache>
            </c:strRef>
          </c:tx>
          <c:spPr>
            <a:ln w="28575" cap="rnd">
              <a:solidFill>
                <a:srgbClr val="4B752F"/>
              </a:solidFill>
              <a:round/>
            </a:ln>
            <a:effectLst/>
          </c:spPr>
          <c:marker>
            <c:symbol val="none"/>
          </c:marker>
          <c:dPt>
            <c:idx val="0"/>
            <c:marker>
              <c:symbol val="none"/>
            </c:marker>
            <c:bubble3D val="0"/>
            <c:spPr>
              <a:ln w="28575" cap="rnd">
                <a:solidFill>
                  <a:srgbClr val="4B752F"/>
                </a:solidFill>
                <a:round/>
              </a:ln>
              <a:effectLst/>
            </c:spPr>
            <c:extLst>
              <c:ext xmlns:c16="http://schemas.microsoft.com/office/drawing/2014/chart" uri="{C3380CC4-5D6E-409C-BE32-E72D297353CC}">
                <c16:uniqueId val="{00000009-29E2-42EC-B977-BFB5AD0254BC}"/>
              </c:ext>
            </c:extLst>
          </c:dPt>
          <c:dPt>
            <c:idx val="1"/>
            <c:marker>
              <c:symbol val="none"/>
            </c:marker>
            <c:bubble3D val="0"/>
            <c:spPr>
              <a:ln w="28575" cap="rnd">
                <a:solidFill>
                  <a:srgbClr val="4B752F"/>
                </a:solidFill>
                <a:round/>
              </a:ln>
              <a:effectLst/>
            </c:spPr>
            <c:extLst>
              <c:ext xmlns:c16="http://schemas.microsoft.com/office/drawing/2014/chart" uri="{C3380CC4-5D6E-409C-BE32-E72D297353CC}">
                <c16:uniqueId val="{00000008-29E2-42EC-B977-BFB5AD0254BC}"/>
              </c:ext>
            </c:extLst>
          </c:dPt>
          <c:dPt>
            <c:idx val="2"/>
            <c:marker>
              <c:symbol val="none"/>
            </c:marker>
            <c:bubble3D val="0"/>
            <c:spPr>
              <a:ln w="28575" cap="rnd">
                <a:solidFill>
                  <a:srgbClr val="4B752F"/>
                </a:solidFill>
                <a:round/>
              </a:ln>
              <a:effectLst/>
            </c:spPr>
            <c:extLst>
              <c:ext xmlns:c16="http://schemas.microsoft.com/office/drawing/2014/chart" uri="{C3380CC4-5D6E-409C-BE32-E72D297353CC}">
                <c16:uniqueId val="{00000002-29E2-42EC-B977-BFB5AD0254BC}"/>
              </c:ext>
            </c:extLst>
          </c:dPt>
          <c:dPt>
            <c:idx val="3"/>
            <c:marker>
              <c:symbol val="none"/>
            </c:marker>
            <c:bubble3D val="0"/>
            <c:spPr>
              <a:ln w="28575" cap="rnd">
                <a:solidFill>
                  <a:srgbClr val="4B752F"/>
                </a:solidFill>
                <a:round/>
              </a:ln>
              <a:effectLst/>
            </c:spPr>
            <c:extLst>
              <c:ext xmlns:c16="http://schemas.microsoft.com/office/drawing/2014/chart" uri="{C3380CC4-5D6E-409C-BE32-E72D297353CC}">
                <c16:uniqueId val="{00000007-29E2-42EC-B977-BFB5AD0254BC}"/>
              </c:ext>
            </c:extLst>
          </c:dPt>
          <c:dPt>
            <c:idx val="4"/>
            <c:marker>
              <c:symbol val="none"/>
            </c:marker>
            <c:bubble3D val="0"/>
            <c:spPr>
              <a:ln w="28575" cap="rnd">
                <a:solidFill>
                  <a:srgbClr val="4B752F"/>
                </a:solidFill>
                <a:round/>
              </a:ln>
              <a:effectLst/>
            </c:spPr>
            <c:extLst>
              <c:ext xmlns:c16="http://schemas.microsoft.com/office/drawing/2014/chart" uri="{C3380CC4-5D6E-409C-BE32-E72D297353CC}">
                <c16:uniqueId val="{00000005-29E2-42EC-B977-BFB5AD0254BC}"/>
              </c:ext>
            </c:extLst>
          </c:dPt>
          <c:dPt>
            <c:idx val="5"/>
            <c:marker>
              <c:symbol val="none"/>
            </c:marker>
            <c:bubble3D val="0"/>
            <c:spPr>
              <a:ln w="28575" cap="rnd">
                <a:solidFill>
                  <a:srgbClr val="4B752F"/>
                </a:solidFill>
                <a:round/>
              </a:ln>
              <a:effectLst/>
            </c:spPr>
            <c:extLst>
              <c:ext xmlns:c16="http://schemas.microsoft.com/office/drawing/2014/chart" uri="{C3380CC4-5D6E-409C-BE32-E72D297353CC}">
                <c16:uniqueId val="{00000004-29E2-42EC-B977-BFB5AD0254BC}"/>
              </c:ext>
            </c:extLst>
          </c:dPt>
          <c:dPt>
            <c:idx val="6"/>
            <c:marker>
              <c:symbol val="none"/>
            </c:marker>
            <c:bubble3D val="0"/>
            <c:spPr>
              <a:ln w="28575" cap="rnd">
                <a:solidFill>
                  <a:srgbClr val="4B752F"/>
                </a:solidFill>
                <a:round/>
              </a:ln>
              <a:effectLst/>
            </c:spPr>
            <c:extLst>
              <c:ext xmlns:c16="http://schemas.microsoft.com/office/drawing/2014/chart" uri="{C3380CC4-5D6E-409C-BE32-E72D297353CC}">
                <c16:uniqueId val="{00000003-29E2-42EC-B977-BFB5AD0254BC}"/>
              </c:ext>
            </c:extLst>
          </c:dPt>
          <c:dPt>
            <c:idx val="7"/>
            <c:marker>
              <c:symbol val="none"/>
            </c:marker>
            <c:bubble3D val="0"/>
            <c:spPr>
              <a:ln w="28575" cap="rnd">
                <a:solidFill>
                  <a:srgbClr val="4B752F"/>
                </a:solidFill>
                <a:round/>
              </a:ln>
              <a:effectLst/>
            </c:spPr>
            <c:extLst>
              <c:ext xmlns:c16="http://schemas.microsoft.com/office/drawing/2014/chart" uri="{C3380CC4-5D6E-409C-BE32-E72D297353CC}">
                <c16:uniqueId val="{00000006-29E2-42EC-B977-BFB5AD0254BC}"/>
              </c:ext>
            </c:extLst>
          </c:dPt>
          <c:dPt>
            <c:idx val="8"/>
            <c:marker>
              <c:symbol val="none"/>
            </c:marker>
            <c:bubble3D val="0"/>
            <c:spPr>
              <a:ln w="28575" cap="rnd">
                <a:solidFill>
                  <a:srgbClr val="4B752F"/>
                </a:solidFill>
                <a:round/>
              </a:ln>
              <a:effectLst/>
            </c:spPr>
            <c:extLst>
              <c:ext xmlns:c16="http://schemas.microsoft.com/office/drawing/2014/chart" uri="{C3380CC4-5D6E-409C-BE32-E72D297353CC}">
                <c16:uniqueId val="{0000000A-29E2-42EC-B977-BFB5AD0254BC}"/>
              </c:ext>
            </c:extLst>
          </c:dPt>
          <c:dLbls>
            <c:dLbl>
              <c:idx val="0"/>
              <c:layout>
                <c:manualLayout>
                  <c:x val="-2.1276613567275562E-3"/>
                  <c:y val="-0.244399185336048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9E2-42EC-B977-BFB5AD0254BC}"/>
                </c:ext>
              </c:extLst>
            </c:dLbl>
            <c:dLbl>
              <c:idx val="1"/>
              <c:layout>
                <c:manualLayout>
                  <c:x val="8.7234115625829806E-2"/>
                  <c:y val="-0.175152749490835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9E2-42EC-B977-BFB5AD0254BC}"/>
                </c:ext>
              </c:extLst>
            </c:dLbl>
            <c:dLbl>
              <c:idx val="2"/>
              <c:layout>
                <c:manualLayout>
                  <c:x val="0.12765968140365347"/>
                  <c:y val="-0.105906313645621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9E2-42EC-B977-BFB5AD0254BC}"/>
                </c:ext>
              </c:extLst>
            </c:dLbl>
            <c:dLbl>
              <c:idx val="3"/>
              <c:layout>
                <c:manualLayout>
                  <c:x val="0.1276596814036532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9E2-42EC-B977-BFB5AD0254BC}"/>
                </c:ext>
              </c:extLst>
            </c:dLbl>
            <c:dLbl>
              <c:idx val="4"/>
              <c:layout>
                <c:manualLayout>
                  <c:x val="8.7234115625829806E-2"/>
                  <c:y val="7.33197556008146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9E2-42EC-B977-BFB5AD0254BC}"/>
                </c:ext>
              </c:extLst>
            </c:dLbl>
            <c:dLbl>
              <c:idx val="5"/>
              <c:layout>
                <c:manualLayout>
                  <c:x val="2.978725899418579E-2"/>
                  <c:y val="0.175152749490835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9E2-42EC-B977-BFB5AD0254BC}"/>
                </c:ext>
              </c:extLst>
            </c:dLbl>
            <c:dLbl>
              <c:idx val="6"/>
              <c:layout>
                <c:manualLayout>
                  <c:x val="-8.2978792912374741E-2"/>
                  <c:y val="0.146639511201629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9E2-42EC-B977-BFB5AD0254BC}"/>
                </c:ext>
              </c:extLst>
            </c:dLbl>
            <c:dLbl>
              <c:idx val="7"/>
              <c:layout>
                <c:manualLayout>
                  <c:x val="-9.5744761052740032E-2"/>
                  <c:y val="-2.44399185336048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9E2-42EC-B977-BFB5AD0254BC}"/>
                </c:ext>
              </c:extLst>
            </c:dLbl>
            <c:dLbl>
              <c:idx val="8"/>
              <c:layout>
                <c:manualLayout>
                  <c:x val="-5.7446856631644019E-2"/>
                  <c:y val="-6.51731160896130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9E2-42EC-B977-BFB5AD0254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Company K</c:v>
                </c:pt>
                <c:pt idx="1">
                  <c:v>Company C</c:v>
                </c:pt>
                <c:pt idx="2">
                  <c:v>Company Z</c:v>
                </c:pt>
                <c:pt idx="3">
                  <c:v>Company J</c:v>
                </c:pt>
                <c:pt idx="4">
                  <c:v>Company I</c:v>
                </c:pt>
                <c:pt idx="5">
                  <c:v>Company A</c:v>
                </c:pt>
                <c:pt idx="6">
                  <c:v>Company F</c:v>
                </c:pt>
                <c:pt idx="7">
                  <c:v>Company BB</c:v>
                </c:pt>
                <c:pt idx="8">
                  <c:v>Company H</c:v>
                </c:pt>
                <c:pt idx="9">
                  <c:v>Company D</c:v>
                </c:pt>
              </c:strCache>
            </c:strRef>
          </c:cat>
          <c:val>
            <c:numRef>
              <c:f>'TOP 10 CUSTOMERS'!$B$4:$B$14</c:f>
              <c:numCache>
                <c:formatCode>"$"#,##0.00</c:formatCode>
                <c:ptCount val="10"/>
                <c:pt idx="0">
                  <c:v>21937.08</c:v>
                </c:pt>
                <c:pt idx="1">
                  <c:v>27005.38</c:v>
                </c:pt>
                <c:pt idx="2">
                  <c:v>28208.250000000007</c:v>
                </c:pt>
                <c:pt idx="3">
                  <c:v>29133.009999999995</c:v>
                </c:pt>
                <c:pt idx="4">
                  <c:v>32530.6</c:v>
                </c:pt>
                <c:pt idx="5">
                  <c:v>36839.990000000005</c:v>
                </c:pt>
                <c:pt idx="6">
                  <c:v>37428</c:v>
                </c:pt>
                <c:pt idx="7">
                  <c:v>43713</c:v>
                </c:pt>
                <c:pt idx="8">
                  <c:v>50208.35</c:v>
                </c:pt>
                <c:pt idx="9">
                  <c:v>67180.5</c:v>
                </c:pt>
              </c:numCache>
            </c:numRef>
          </c:val>
          <c:extLst>
            <c:ext xmlns:c16="http://schemas.microsoft.com/office/drawing/2014/chart" uri="{C3380CC4-5D6E-409C-BE32-E72D297353CC}">
              <c16:uniqueId val="{00000000-29E2-42EC-B977-BFB5AD0254BC}"/>
            </c:ext>
          </c:extLst>
        </c:ser>
        <c:dLbls>
          <c:showLegendKey val="0"/>
          <c:showVal val="1"/>
          <c:showCatName val="0"/>
          <c:showSerName val="0"/>
          <c:showPercent val="0"/>
          <c:showBubbleSize val="0"/>
        </c:dLbls>
        <c:axId val="562671407"/>
        <c:axId val="562661327"/>
      </c:radarChart>
      <c:catAx>
        <c:axId val="562671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661327"/>
        <c:crosses val="autoZero"/>
        <c:auto val="1"/>
        <c:lblAlgn val="ctr"/>
        <c:lblOffset val="100"/>
        <c:noMultiLvlLbl val="0"/>
      </c:catAx>
      <c:valAx>
        <c:axId val="562661327"/>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56267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12700">
        <a:schemeClr val="accent1">
          <a:alpha val="42000"/>
        </a:schemeClr>
      </a:glow>
      <a:outerShdw dist="50800" dir="5400000" algn="ctr" rotWithShape="0">
        <a:srgbClr val="000000">
          <a:alpha val="98000"/>
        </a:srgb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[TARGET ANALYSED DATA.xlsx]SALES BY REP!PivotTable1</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latin typeface="Amasi MT PRO"/>
              </a:rPr>
              <a:t>Sales</a:t>
            </a:r>
            <a:r>
              <a:rPr lang="en-US" sz="1200" baseline="0">
                <a:latin typeface="Amasi MT PRO"/>
              </a:rPr>
              <a:t> By Rep</a:t>
            </a:r>
            <a:endParaRPr lang="en-US" sz="1200">
              <a:latin typeface="Amasi MT PRO"/>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alpha val="99000"/>
            </a:schemeClr>
          </a:solidFill>
          <a:ln w="127000">
            <a:noFill/>
          </a:ln>
          <a:effectLst/>
        </c:spPr>
      </c:pivotFmt>
      <c:pivotFmt>
        <c:idx val="3"/>
        <c:spPr>
          <a:solidFill>
            <a:schemeClr val="accent5">
              <a:lumMod val="75000"/>
              <a:alpha val="99000"/>
            </a:schemeClr>
          </a:solidFill>
          <a:ln w="127000">
            <a:noFill/>
          </a:ln>
          <a:effectLst/>
        </c:spPr>
      </c:pivotFmt>
      <c:pivotFmt>
        <c:idx val="4"/>
        <c:spPr>
          <a:solidFill>
            <a:schemeClr val="accent5">
              <a:lumMod val="60000"/>
              <a:lumOff val="40000"/>
              <a:alpha val="99000"/>
            </a:schemeClr>
          </a:solidFill>
          <a:ln w="127000">
            <a:noFill/>
          </a:ln>
          <a:effectLst/>
        </c:spPr>
      </c:pivotFmt>
      <c:pivotFmt>
        <c:idx val="5"/>
        <c:spPr>
          <a:solidFill>
            <a:schemeClr val="accent5">
              <a:lumMod val="60000"/>
              <a:lumOff val="40000"/>
              <a:alpha val="99000"/>
            </a:schemeClr>
          </a:solidFill>
          <a:ln w="127000">
            <a:noFill/>
          </a:ln>
          <a:effectLst/>
        </c:spPr>
      </c:pivotFmt>
      <c:pivotFmt>
        <c:idx val="6"/>
        <c:spPr>
          <a:solidFill>
            <a:schemeClr val="accent5">
              <a:lumMod val="75000"/>
              <a:alpha val="99000"/>
            </a:schemeClr>
          </a:solidFill>
          <a:ln w="127000">
            <a:noFill/>
          </a:ln>
          <a:effectLst/>
        </c:spPr>
      </c:pivotFmt>
      <c:pivotFmt>
        <c:idx val="7"/>
        <c:spPr>
          <a:solidFill>
            <a:schemeClr val="accent5">
              <a:lumMod val="40000"/>
              <a:lumOff val="60000"/>
              <a:alpha val="99000"/>
            </a:schemeClr>
          </a:solidFill>
          <a:ln w="127000">
            <a:noFill/>
          </a:ln>
          <a:effectLst/>
        </c:spPr>
      </c:pivotFmt>
      <c:pivotFmt>
        <c:idx val="8"/>
        <c:spPr>
          <a:solidFill>
            <a:schemeClr val="accent5">
              <a:lumMod val="20000"/>
              <a:lumOff val="80000"/>
              <a:alpha val="99000"/>
            </a:schemeClr>
          </a:solidFill>
          <a:ln w="127000">
            <a:noFill/>
          </a:ln>
          <a:effectLst/>
        </c:spPr>
      </c:pivotFmt>
      <c:pivotFmt>
        <c:idx val="9"/>
        <c:spPr>
          <a:solidFill>
            <a:schemeClr val="accent5">
              <a:lumMod val="20000"/>
              <a:lumOff val="80000"/>
              <a:alpha val="99000"/>
            </a:schemeClr>
          </a:solidFill>
          <a:ln w="127000">
            <a:noFill/>
          </a:ln>
          <a:effectLst/>
        </c:spPr>
      </c:pivotFmt>
      <c:pivotFmt>
        <c:idx val="10"/>
        <c:spPr>
          <a:solidFill>
            <a:schemeClr val="accent5">
              <a:lumMod val="75000"/>
              <a:alpha val="99000"/>
            </a:schemeClr>
          </a:solidFill>
          <a:ln w="127000">
            <a:noFill/>
          </a:ln>
          <a:effectLst/>
        </c:spPr>
      </c:pivotFmt>
      <c:pivotFmt>
        <c:idx val="11"/>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alpha val="99000"/>
            </a:schemeClr>
          </a:solidFill>
          <a:ln w="127000">
            <a:noFill/>
          </a:ln>
          <a:effectLst/>
        </c:spPr>
      </c:pivotFmt>
      <c:pivotFmt>
        <c:idx val="13"/>
        <c:spPr>
          <a:solidFill>
            <a:schemeClr val="accent5">
              <a:lumMod val="20000"/>
              <a:lumOff val="80000"/>
              <a:alpha val="99000"/>
            </a:schemeClr>
          </a:solidFill>
          <a:ln w="127000">
            <a:noFill/>
          </a:ln>
          <a:effectLst/>
        </c:spPr>
      </c:pivotFmt>
      <c:pivotFmt>
        <c:idx val="14"/>
        <c:spPr>
          <a:solidFill>
            <a:schemeClr val="accent5">
              <a:lumMod val="40000"/>
              <a:lumOff val="60000"/>
              <a:alpha val="99000"/>
            </a:schemeClr>
          </a:solidFill>
          <a:ln w="127000">
            <a:noFill/>
          </a:ln>
          <a:effectLst/>
        </c:spPr>
      </c:pivotFmt>
      <c:pivotFmt>
        <c:idx val="15"/>
        <c:spPr>
          <a:solidFill>
            <a:schemeClr val="accent5">
              <a:lumMod val="40000"/>
              <a:lumOff val="60000"/>
              <a:alpha val="99000"/>
            </a:schemeClr>
          </a:solidFill>
          <a:ln w="127000">
            <a:noFill/>
          </a:ln>
          <a:effectLst/>
        </c:spPr>
      </c:pivotFmt>
      <c:pivotFmt>
        <c:idx val="16"/>
        <c:spPr>
          <a:solidFill>
            <a:schemeClr val="accent5">
              <a:lumMod val="60000"/>
              <a:lumOff val="40000"/>
              <a:alpha val="99000"/>
            </a:schemeClr>
          </a:solidFill>
          <a:ln w="127000">
            <a:noFill/>
          </a:ln>
          <a:effectLst/>
        </c:spPr>
      </c:pivotFmt>
      <c:pivotFmt>
        <c:idx val="17"/>
        <c:spPr>
          <a:solidFill>
            <a:schemeClr val="accent5">
              <a:lumMod val="60000"/>
              <a:lumOff val="40000"/>
              <a:alpha val="99000"/>
            </a:schemeClr>
          </a:solidFill>
          <a:ln w="127000">
            <a:noFill/>
          </a:ln>
          <a:effectLst/>
        </c:spPr>
      </c:pivotFmt>
      <c:pivotFmt>
        <c:idx val="18"/>
        <c:spPr>
          <a:solidFill>
            <a:schemeClr val="accent5">
              <a:lumMod val="75000"/>
              <a:alpha val="99000"/>
            </a:schemeClr>
          </a:solidFill>
          <a:ln w="127000">
            <a:noFill/>
          </a:ln>
          <a:effectLst/>
        </c:spPr>
      </c:pivotFmt>
      <c:pivotFmt>
        <c:idx val="19"/>
        <c:spPr>
          <a:solidFill>
            <a:schemeClr val="accent5">
              <a:lumMod val="75000"/>
              <a:alpha val="99000"/>
            </a:schemeClr>
          </a:solidFill>
          <a:ln w="127000">
            <a:noFill/>
          </a:ln>
          <a:effectLst/>
        </c:spPr>
      </c:pivotFmt>
      <c:pivotFmt>
        <c:idx val="20"/>
        <c:spPr>
          <a:solidFill>
            <a:schemeClr val="accent5">
              <a:lumMod val="75000"/>
              <a:alpha val="99000"/>
            </a:schemeClr>
          </a:solidFill>
          <a:ln w="127000">
            <a:noFill/>
          </a:ln>
          <a:effectLst/>
        </c:spPr>
      </c:pivotFmt>
      <c:pivotFmt>
        <c:idx val="21"/>
        <c:spPr>
          <a:solidFill>
            <a:schemeClr val="accent5">
              <a:lumMod val="75000"/>
              <a:alpha val="99000"/>
            </a:schemeClr>
          </a:solidFill>
          <a:ln w="127000">
            <a:noFill/>
          </a:ln>
          <a:effectLst/>
        </c:spPr>
      </c:pivotFmt>
      <c:pivotFmt>
        <c:idx val="22"/>
        <c:spPr>
          <a:solidFill>
            <a:schemeClr val="accent5">
              <a:lumMod val="75000"/>
              <a:alpha val="99000"/>
            </a:schemeClr>
          </a:solidFill>
          <a:ln w="127000">
            <a:noFill/>
          </a:ln>
          <a:effectLst/>
        </c:spPr>
      </c:pivotFmt>
      <c:pivotFmt>
        <c:idx val="23"/>
        <c:spPr>
          <a:solidFill>
            <a:schemeClr val="accent5">
              <a:lumMod val="60000"/>
              <a:lumOff val="40000"/>
              <a:alpha val="99000"/>
            </a:schemeClr>
          </a:solidFill>
          <a:ln w="127000">
            <a:noFill/>
          </a:ln>
          <a:effectLst/>
        </c:spPr>
      </c:pivotFmt>
      <c:pivotFmt>
        <c:idx val="24"/>
        <c:spPr>
          <a:solidFill>
            <a:schemeClr val="accent5">
              <a:lumMod val="60000"/>
              <a:lumOff val="40000"/>
              <a:alpha val="99000"/>
            </a:schemeClr>
          </a:solidFill>
          <a:ln w="127000">
            <a:noFill/>
          </a:ln>
          <a:effectLst/>
        </c:spPr>
      </c:pivotFmt>
      <c:pivotFmt>
        <c:idx val="25"/>
        <c:spPr>
          <a:solidFill>
            <a:schemeClr val="accent5">
              <a:lumMod val="40000"/>
              <a:lumOff val="60000"/>
              <a:alpha val="99000"/>
            </a:schemeClr>
          </a:solidFill>
          <a:ln w="127000">
            <a:noFill/>
          </a:ln>
          <a:effectLst/>
        </c:spPr>
      </c:pivotFmt>
      <c:pivotFmt>
        <c:idx val="26"/>
        <c:spPr>
          <a:solidFill>
            <a:schemeClr val="accent5">
              <a:lumMod val="40000"/>
              <a:lumOff val="60000"/>
              <a:alpha val="99000"/>
            </a:schemeClr>
          </a:solidFill>
          <a:ln w="127000">
            <a:noFill/>
          </a:ln>
          <a:effectLst/>
        </c:spPr>
      </c:pivotFmt>
      <c:pivotFmt>
        <c:idx val="27"/>
        <c:spPr>
          <a:solidFill>
            <a:schemeClr val="accent5">
              <a:lumMod val="20000"/>
              <a:lumOff val="80000"/>
              <a:alpha val="99000"/>
            </a:schemeClr>
          </a:solidFill>
          <a:ln w="127000">
            <a:noFill/>
          </a:ln>
          <a:effectLst/>
        </c:spPr>
      </c:pivotFmt>
    </c:pivotFmts>
    <c:plotArea>
      <c:layout>
        <c:manualLayout>
          <c:layoutTarget val="inner"/>
          <c:xMode val="edge"/>
          <c:yMode val="edge"/>
          <c:x val="0.15278359619755494"/>
          <c:y val="0.1382269569245021"/>
          <c:w val="0.80265555591854243"/>
          <c:h val="0.75442660807928541"/>
        </c:manualLayout>
      </c:layout>
      <c:barChart>
        <c:barDir val="bar"/>
        <c:grouping val="clustered"/>
        <c:varyColors val="0"/>
        <c:ser>
          <c:idx val="0"/>
          <c:order val="0"/>
          <c:tx>
            <c:strRef>
              <c:f>'SALES BY REP'!$B$3</c:f>
              <c:strCache>
                <c:ptCount val="1"/>
                <c:pt idx="0">
                  <c:v>Total</c:v>
                </c:pt>
              </c:strCache>
            </c:strRef>
          </c:tx>
          <c:spPr>
            <a:solidFill>
              <a:schemeClr val="accent5">
                <a:lumMod val="50000"/>
                <a:alpha val="99000"/>
              </a:schemeClr>
            </a:solidFill>
            <a:ln w="127000">
              <a:noFill/>
            </a:ln>
            <a:effectLst/>
          </c:spPr>
          <c:invertIfNegative val="0"/>
          <c:dPt>
            <c:idx val="0"/>
            <c:invertIfNegative val="0"/>
            <c:bubble3D val="0"/>
            <c:spPr>
              <a:solidFill>
                <a:schemeClr val="accent5">
                  <a:lumMod val="20000"/>
                  <a:lumOff val="80000"/>
                  <a:alpha val="99000"/>
                </a:schemeClr>
              </a:solidFill>
              <a:ln w="127000">
                <a:noFill/>
              </a:ln>
              <a:effectLst/>
            </c:spPr>
            <c:extLst>
              <c:ext xmlns:c16="http://schemas.microsoft.com/office/drawing/2014/chart" uri="{C3380CC4-5D6E-409C-BE32-E72D297353CC}">
                <c16:uniqueId val="{00000001-6575-430A-8798-35A6AA4A9677}"/>
              </c:ext>
            </c:extLst>
          </c:dPt>
          <c:dPt>
            <c:idx val="1"/>
            <c:invertIfNegative val="0"/>
            <c:bubble3D val="0"/>
            <c:spPr>
              <a:solidFill>
                <a:schemeClr val="accent5">
                  <a:lumMod val="40000"/>
                  <a:lumOff val="60000"/>
                  <a:alpha val="99000"/>
                </a:schemeClr>
              </a:solidFill>
              <a:ln w="127000">
                <a:noFill/>
              </a:ln>
              <a:effectLst/>
            </c:spPr>
            <c:extLst>
              <c:ext xmlns:c16="http://schemas.microsoft.com/office/drawing/2014/chart" uri="{C3380CC4-5D6E-409C-BE32-E72D297353CC}">
                <c16:uniqueId val="{00000003-6575-430A-8798-35A6AA4A9677}"/>
              </c:ext>
            </c:extLst>
          </c:dPt>
          <c:dPt>
            <c:idx val="2"/>
            <c:invertIfNegative val="0"/>
            <c:bubble3D val="0"/>
            <c:spPr>
              <a:solidFill>
                <a:schemeClr val="accent5">
                  <a:lumMod val="40000"/>
                  <a:lumOff val="60000"/>
                  <a:alpha val="99000"/>
                </a:schemeClr>
              </a:solidFill>
              <a:ln w="127000">
                <a:noFill/>
              </a:ln>
              <a:effectLst/>
            </c:spPr>
            <c:extLst>
              <c:ext xmlns:c16="http://schemas.microsoft.com/office/drawing/2014/chart" uri="{C3380CC4-5D6E-409C-BE32-E72D297353CC}">
                <c16:uniqueId val="{00000005-6575-430A-8798-35A6AA4A9677}"/>
              </c:ext>
            </c:extLst>
          </c:dPt>
          <c:dPt>
            <c:idx val="3"/>
            <c:invertIfNegative val="0"/>
            <c:bubble3D val="0"/>
            <c:spPr>
              <a:solidFill>
                <a:schemeClr val="accent5">
                  <a:lumMod val="60000"/>
                  <a:lumOff val="40000"/>
                  <a:alpha val="99000"/>
                </a:schemeClr>
              </a:solidFill>
              <a:ln w="127000">
                <a:noFill/>
              </a:ln>
              <a:effectLst/>
            </c:spPr>
            <c:extLst>
              <c:ext xmlns:c16="http://schemas.microsoft.com/office/drawing/2014/chart" uri="{C3380CC4-5D6E-409C-BE32-E72D297353CC}">
                <c16:uniqueId val="{00000007-6575-430A-8798-35A6AA4A9677}"/>
              </c:ext>
            </c:extLst>
          </c:dPt>
          <c:dPt>
            <c:idx val="4"/>
            <c:invertIfNegative val="0"/>
            <c:bubble3D val="0"/>
            <c:spPr>
              <a:solidFill>
                <a:schemeClr val="accent5">
                  <a:lumMod val="60000"/>
                  <a:lumOff val="40000"/>
                  <a:alpha val="99000"/>
                </a:schemeClr>
              </a:solidFill>
              <a:ln w="127000">
                <a:noFill/>
              </a:ln>
              <a:effectLst/>
            </c:spPr>
            <c:extLst>
              <c:ext xmlns:c16="http://schemas.microsoft.com/office/drawing/2014/chart" uri="{C3380CC4-5D6E-409C-BE32-E72D297353CC}">
                <c16:uniqueId val="{00000009-6575-430A-8798-35A6AA4A9677}"/>
              </c:ext>
            </c:extLst>
          </c:dPt>
          <c:dPt>
            <c:idx val="5"/>
            <c:invertIfNegative val="0"/>
            <c:bubble3D val="0"/>
            <c:spPr>
              <a:solidFill>
                <a:schemeClr val="accent5">
                  <a:lumMod val="75000"/>
                  <a:alpha val="99000"/>
                </a:schemeClr>
              </a:solidFill>
              <a:ln w="127000">
                <a:noFill/>
              </a:ln>
              <a:effectLst/>
            </c:spPr>
            <c:extLst>
              <c:ext xmlns:c16="http://schemas.microsoft.com/office/drawing/2014/chart" uri="{C3380CC4-5D6E-409C-BE32-E72D297353CC}">
                <c16:uniqueId val="{0000000B-6575-430A-8798-35A6AA4A9677}"/>
              </c:ext>
            </c:extLst>
          </c:dPt>
          <c:dPt>
            <c:idx val="6"/>
            <c:invertIfNegative val="0"/>
            <c:bubble3D val="0"/>
            <c:spPr>
              <a:solidFill>
                <a:schemeClr val="accent5">
                  <a:lumMod val="75000"/>
                  <a:alpha val="99000"/>
                </a:schemeClr>
              </a:solidFill>
              <a:ln w="127000">
                <a:noFill/>
              </a:ln>
              <a:effectLst/>
            </c:spPr>
            <c:extLst>
              <c:ext xmlns:c16="http://schemas.microsoft.com/office/drawing/2014/chart" uri="{C3380CC4-5D6E-409C-BE32-E72D297353CC}">
                <c16:uniqueId val="{0000000D-6575-430A-8798-35A6AA4A9677}"/>
              </c:ext>
            </c:extLst>
          </c:dPt>
          <c:dPt>
            <c:idx val="7"/>
            <c:invertIfNegative val="0"/>
            <c:bubble3D val="0"/>
            <c:extLst>
              <c:ext xmlns:c16="http://schemas.microsoft.com/office/drawing/2014/chart" uri="{C3380CC4-5D6E-409C-BE32-E72D297353CC}">
                <c16:uniqueId val="{0000000F-6575-430A-8798-35A6AA4A9677}"/>
              </c:ext>
            </c:extLst>
          </c:dPt>
          <c:dPt>
            <c:idx val="8"/>
            <c:invertIfNegative val="0"/>
            <c:bubble3D val="0"/>
            <c:extLst>
              <c:ext xmlns:c16="http://schemas.microsoft.com/office/drawing/2014/chart" uri="{C3380CC4-5D6E-409C-BE32-E72D297353CC}">
                <c16:uniqueId val="{00000011-6575-430A-8798-35A6AA4A96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REP'!$A$4:$A$12</c:f>
              <c:strCache>
                <c:ptCount val="8"/>
                <c:pt idx="0">
                  <c:v>Jan Kotas</c:v>
                </c:pt>
                <c:pt idx="1">
                  <c:v>Robert Zare</c:v>
                </c:pt>
                <c:pt idx="2">
                  <c:v>Michael Neipper</c:v>
                </c:pt>
                <c:pt idx="3">
                  <c:v>Laura Giussani</c:v>
                </c:pt>
                <c:pt idx="4">
                  <c:v>Mariya Sergienko</c:v>
                </c:pt>
                <c:pt idx="5">
                  <c:v>Andrew Cencini</c:v>
                </c:pt>
                <c:pt idx="6">
                  <c:v>Anne Larsen</c:v>
                </c:pt>
                <c:pt idx="7">
                  <c:v>Nancy Freehafer</c:v>
                </c:pt>
              </c:strCache>
            </c:strRef>
          </c:cat>
          <c:val>
            <c:numRef>
              <c:f>'SALES BY REP'!$B$4:$B$12</c:f>
              <c:numCache>
                <c:formatCode>"$"#,##0.00</c:formatCode>
                <c:ptCount val="8"/>
                <c:pt idx="0">
                  <c:v>16350.5</c:v>
                </c:pt>
                <c:pt idx="1">
                  <c:v>32530.6</c:v>
                </c:pt>
                <c:pt idx="2">
                  <c:v>37428</c:v>
                </c:pt>
                <c:pt idx="3">
                  <c:v>41095.01</c:v>
                </c:pt>
                <c:pt idx="4">
                  <c:v>42370.880000000005</c:v>
                </c:pt>
                <c:pt idx="5">
                  <c:v>67180.5</c:v>
                </c:pt>
                <c:pt idx="6">
                  <c:v>93858.329999999987</c:v>
                </c:pt>
                <c:pt idx="7">
                  <c:v>104252.33999999997</c:v>
                </c:pt>
              </c:numCache>
            </c:numRef>
          </c:val>
          <c:extLst>
            <c:ext xmlns:c16="http://schemas.microsoft.com/office/drawing/2014/chart" uri="{C3380CC4-5D6E-409C-BE32-E72D297353CC}">
              <c16:uniqueId val="{00000012-6575-430A-8798-35A6AA4A9677}"/>
            </c:ext>
          </c:extLst>
        </c:ser>
        <c:dLbls>
          <c:dLblPos val="outEnd"/>
          <c:showLegendKey val="0"/>
          <c:showVal val="1"/>
          <c:showCatName val="0"/>
          <c:showSerName val="0"/>
          <c:showPercent val="0"/>
          <c:showBubbleSize val="0"/>
        </c:dLbls>
        <c:gapWidth val="20"/>
        <c:axId val="562671407"/>
        <c:axId val="562661327"/>
      </c:barChart>
      <c:catAx>
        <c:axId val="562671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661327"/>
        <c:crosses val="autoZero"/>
        <c:auto val="1"/>
        <c:lblAlgn val="ctr"/>
        <c:lblOffset val="100"/>
        <c:noMultiLvlLbl val="0"/>
      </c:catAx>
      <c:valAx>
        <c:axId val="562661327"/>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56267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12700">
        <a:schemeClr val="accent1">
          <a:alpha val="40000"/>
        </a:schemeClr>
      </a:glow>
      <a:outerShdw blurRad="50800" dir="5400000" algn="ctr" rotWithShape="0">
        <a:srgbClr val="000000">
          <a:alpha val="98000"/>
        </a:srgb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[TARGET ANALYSED DATA.xlsx]SALES BY REGION!PivotTable1</c:name>
    <c:fmtId val="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latin typeface="Amasi MT PRO"/>
              </a:rPr>
              <a:t>Sales</a:t>
            </a:r>
            <a:r>
              <a:rPr lang="en-US" sz="1200" baseline="0">
                <a:latin typeface="Amasi MT PRO"/>
              </a:rPr>
              <a:t> By Region</a:t>
            </a:r>
            <a:endParaRPr lang="en-US" sz="1200">
              <a:latin typeface="Amasi MT PRO"/>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alpha val="99000"/>
            </a:schemeClr>
          </a:solidFill>
          <a:ln w="127000">
            <a:noFill/>
          </a:ln>
          <a:effectLst/>
        </c:spPr>
      </c:pivotFmt>
      <c:pivotFmt>
        <c:idx val="3"/>
        <c:spPr>
          <a:solidFill>
            <a:schemeClr val="accent5">
              <a:lumMod val="75000"/>
              <a:alpha val="99000"/>
            </a:schemeClr>
          </a:solidFill>
          <a:ln w="127000">
            <a:noFill/>
          </a:ln>
          <a:effectLst/>
        </c:spPr>
      </c:pivotFmt>
      <c:pivotFmt>
        <c:idx val="4"/>
        <c:spPr>
          <a:solidFill>
            <a:schemeClr val="accent5">
              <a:lumMod val="60000"/>
              <a:lumOff val="40000"/>
              <a:alpha val="99000"/>
            </a:schemeClr>
          </a:solidFill>
          <a:ln w="127000">
            <a:noFill/>
          </a:ln>
          <a:effectLst/>
        </c:spPr>
      </c:pivotFmt>
      <c:pivotFmt>
        <c:idx val="5"/>
        <c:spPr>
          <a:solidFill>
            <a:schemeClr val="accent5">
              <a:lumMod val="60000"/>
              <a:lumOff val="40000"/>
              <a:alpha val="99000"/>
            </a:schemeClr>
          </a:solidFill>
          <a:ln w="127000">
            <a:noFill/>
          </a:ln>
          <a:effectLst/>
        </c:spPr>
      </c:pivotFmt>
      <c:pivotFmt>
        <c:idx val="6"/>
        <c:spPr>
          <a:solidFill>
            <a:schemeClr val="accent5">
              <a:lumMod val="75000"/>
              <a:alpha val="99000"/>
            </a:schemeClr>
          </a:solidFill>
          <a:ln w="127000">
            <a:noFill/>
          </a:ln>
          <a:effectLst/>
        </c:spPr>
      </c:pivotFmt>
      <c:pivotFmt>
        <c:idx val="7"/>
        <c:spPr>
          <a:solidFill>
            <a:schemeClr val="accent5">
              <a:lumMod val="40000"/>
              <a:lumOff val="60000"/>
              <a:alpha val="99000"/>
            </a:schemeClr>
          </a:solidFill>
          <a:ln w="127000">
            <a:noFill/>
          </a:ln>
          <a:effectLst/>
        </c:spPr>
      </c:pivotFmt>
      <c:pivotFmt>
        <c:idx val="8"/>
        <c:spPr>
          <a:solidFill>
            <a:schemeClr val="accent5">
              <a:lumMod val="20000"/>
              <a:lumOff val="80000"/>
              <a:alpha val="99000"/>
            </a:schemeClr>
          </a:solidFill>
          <a:ln w="127000">
            <a:noFill/>
          </a:ln>
          <a:effectLst/>
        </c:spPr>
      </c:pivotFmt>
      <c:pivotFmt>
        <c:idx val="9"/>
        <c:spPr>
          <a:solidFill>
            <a:schemeClr val="accent5">
              <a:lumMod val="20000"/>
              <a:lumOff val="80000"/>
              <a:alpha val="99000"/>
            </a:schemeClr>
          </a:solidFill>
          <a:ln w="127000">
            <a:noFill/>
          </a:ln>
          <a:effectLst/>
        </c:spPr>
      </c:pivotFmt>
      <c:pivotFmt>
        <c:idx val="10"/>
        <c:spPr>
          <a:solidFill>
            <a:schemeClr val="accent5">
              <a:lumMod val="75000"/>
              <a:alpha val="99000"/>
            </a:schemeClr>
          </a:solidFill>
          <a:ln w="127000">
            <a:noFill/>
          </a:ln>
          <a:effectLst/>
        </c:spPr>
      </c:pivotFmt>
      <c:pivotFmt>
        <c:idx val="11"/>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alpha val="99000"/>
            </a:schemeClr>
          </a:solidFill>
          <a:ln w="127000">
            <a:noFill/>
          </a:ln>
          <a:effectLst/>
        </c:spPr>
      </c:pivotFmt>
      <c:pivotFmt>
        <c:idx val="13"/>
        <c:spPr>
          <a:solidFill>
            <a:schemeClr val="accent5">
              <a:lumMod val="20000"/>
              <a:lumOff val="80000"/>
              <a:alpha val="99000"/>
            </a:schemeClr>
          </a:solidFill>
          <a:ln w="127000">
            <a:noFill/>
          </a:ln>
          <a:effectLst/>
        </c:spPr>
      </c:pivotFmt>
      <c:pivotFmt>
        <c:idx val="14"/>
        <c:spPr>
          <a:solidFill>
            <a:schemeClr val="accent5">
              <a:lumMod val="40000"/>
              <a:lumOff val="60000"/>
              <a:alpha val="99000"/>
            </a:schemeClr>
          </a:solidFill>
          <a:ln w="127000">
            <a:noFill/>
          </a:ln>
          <a:effectLst/>
        </c:spPr>
      </c:pivotFmt>
      <c:pivotFmt>
        <c:idx val="15"/>
        <c:spPr>
          <a:solidFill>
            <a:schemeClr val="accent5">
              <a:lumMod val="40000"/>
              <a:lumOff val="60000"/>
              <a:alpha val="99000"/>
            </a:schemeClr>
          </a:solidFill>
          <a:ln w="127000">
            <a:noFill/>
          </a:ln>
          <a:effectLst/>
        </c:spPr>
      </c:pivotFmt>
      <c:pivotFmt>
        <c:idx val="16"/>
        <c:spPr>
          <a:solidFill>
            <a:schemeClr val="accent5">
              <a:lumMod val="60000"/>
              <a:lumOff val="40000"/>
              <a:alpha val="99000"/>
            </a:schemeClr>
          </a:solidFill>
          <a:ln w="127000">
            <a:noFill/>
          </a:ln>
          <a:effectLst/>
        </c:spPr>
      </c:pivotFmt>
      <c:pivotFmt>
        <c:idx val="17"/>
        <c:spPr>
          <a:solidFill>
            <a:schemeClr val="accent5">
              <a:lumMod val="60000"/>
              <a:lumOff val="40000"/>
              <a:alpha val="99000"/>
            </a:schemeClr>
          </a:solidFill>
          <a:ln w="127000">
            <a:noFill/>
          </a:ln>
          <a:effectLst/>
        </c:spPr>
      </c:pivotFmt>
      <c:pivotFmt>
        <c:idx val="18"/>
        <c:spPr>
          <a:solidFill>
            <a:schemeClr val="accent5">
              <a:lumMod val="75000"/>
              <a:alpha val="99000"/>
            </a:schemeClr>
          </a:solidFill>
          <a:ln w="127000">
            <a:noFill/>
          </a:ln>
          <a:effectLst/>
        </c:spPr>
      </c:pivotFmt>
      <c:pivotFmt>
        <c:idx val="19"/>
        <c:spPr>
          <a:solidFill>
            <a:schemeClr val="accent5">
              <a:lumMod val="75000"/>
              <a:alpha val="99000"/>
            </a:schemeClr>
          </a:solidFill>
          <a:ln w="127000">
            <a:noFill/>
          </a:ln>
          <a:effectLst/>
        </c:spPr>
      </c:pivotFmt>
      <c:pivotFmt>
        <c:idx val="20"/>
        <c:spPr>
          <a:solidFill>
            <a:schemeClr val="accent5">
              <a:lumMod val="75000"/>
              <a:alpha val="99000"/>
            </a:schemeClr>
          </a:solidFill>
          <a:ln w="127000">
            <a:noFill/>
          </a:ln>
          <a:effectLst/>
        </c:spPr>
      </c:pivotFmt>
      <c:pivotFmt>
        <c:idx val="21"/>
        <c:spPr>
          <a:solidFill>
            <a:schemeClr val="accent5">
              <a:lumMod val="75000"/>
              <a:alpha val="99000"/>
            </a:schemeClr>
          </a:solidFill>
          <a:ln w="127000">
            <a:noFill/>
          </a:ln>
          <a:effectLst/>
        </c:spPr>
      </c:pivotFmt>
      <c:pivotFmt>
        <c:idx val="22"/>
        <c:spPr>
          <a:solidFill>
            <a:schemeClr val="accent5">
              <a:lumMod val="75000"/>
              <a:alpha val="99000"/>
            </a:schemeClr>
          </a:solidFill>
          <a:ln w="127000">
            <a:noFill/>
          </a:ln>
          <a:effectLst/>
        </c:spPr>
      </c:pivotFmt>
      <c:pivotFmt>
        <c:idx val="23"/>
        <c:spPr>
          <a:solidFill>
            <a:schemeClr val="accent5">
              <a:lumMod val="60000"/>
              <a:lumOff val="40000"/>
              <a:alpha val="99000"/>
            </a:schemeClr>
          </a:solidFill>
          <a:ln w="127000">
            <a:noFill/>
          </a:ln>
          <a:effectLst/>
        </c:spPr>
      </c:pivotFmt>
      <c:pivotFmt>
        <c:idx val="24"/>
        <c:spPr>
          <a:solidFill>
            <a:schemeClr val="accent5">
              <a:lumMod val="60000"/>
              <a:lumOff val="40000"/>
              <a:alpha val="99000"/>
            </a:schemeClr>
          </a:solidFill>
          <a:ln w="127000">
            <a:noFill/>
          </a:ln>
          <a:effectLst/>
        </c:spPr>
      </c:pivotFmt>
      <c:pivotFmt>
        <c:idx val="25"/>
        <c:spPr>
          <a:solidFill>
            <a:schemeClr val="accent5">
              <a:lumMod val="40000"/>
              <a:lumOff val="60000"/>
              <a:alpha val="99000"/>
            </a:schemeClr>
          </a:solidFill>
          <a:ln w="127000">
            <a:noFill/>
          </a:ln>
          <a:effectLst/>
        </c:spPr>
      </c:pivotFmt>
      <c:pivotFmt>
        <c:idx val="26"/>
        <c:spPr>
          <a:solidFill>
            <a:schemeClr val="accent5">
              <a:lumMod val="40000"/>
              <a:lumOff val="60000"/>
              <a:alpha val="99000"/>
            </a:schemeClr>
          </a:solidFill>
          <a:ln w="127000">
            <a:noFill/>
          </a:ln>
          <a:effectLst/>
        </c:spPr>
      </c:pivotFmt>
      <c:pivotFmt>
        <c:idx val="27"/>
        <c:spPr>
          <a:solidFill>
            <a:schemeClr val="accent5">
              <a:lumMod val="20000"/>
              <a:lumOff val="80000"/>
              <a:alpha val="99000"/>
            </a:schemeClr>
          </a:solidFill>
          <a:ln w="127000">
            <a:noFill/>
          </a:ln>
          <a:effectLst/>
        </c:spPr>
      </c:pivotFmt>
      <c:pivotFmt>
        <c:idx val="28"/>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20000"/>
              <a:lumOff val="80000"/>
              <a:alpha val="99000"/>
            </a:schemeClr>
          </a:solidFill>
          <a:ln w="127000">
            <a:noFill/>
          </a:ln>
          <a:effectLst/>
        </c:spPr>
      </c:pivotFmt>
      <c:pivotFmt>
        <c:idx val="30"/>
        <c:spPr>
          <a:solidFill>
            <a:schemeClr val="accent5">
              <a:lumMod val="40000"/>
              <a:lumOff val="60000"/>
              <a:alpha val="99000"/>
            </a:schemeClr>
          </a:solidFill>
          <a:ln w="127000">
            <a:noFill/>
          </a:ln>
          <a:effectLst/>
        </c:spPr>
      </c:pivotFmt>
      <c:pivotFmt>
        <c:idx val="31"/>
        <c:spPr>
          <a:solidFill>
            <a:schemeClr val="accent5">
              <a:lumMod val="40000"/>
              <a:lumOff val="60000"/>
              <a:alpha val="99000"/>
            </a:schemeClr>
          </a:solidFill>
          <a:ln w="127000">
            <a:noFill/>
          </a:ln>
          <a:effectLst/>
        </c:spPr>
      </c:pivotFmt>
      <c:pivotFmt>
        <c:idx val="32"/>
        <c:spPr>
          <a:solidFill>
            <a:schemeClr val="accent5">
              <a:lumMod val="60000"/>
              <a:lumOff val="40000"/>
              <a:alpha val="99000"/>
            </a:schemeClr>
          </a:solidFill>
          <a:ln w="127000">
            <a:noFill/>
          </a:ln>
          <a:effectLst/>
        </c:spPr>
      </c:pivotFmt>
      <c:pivotFmt>
        <c:idx val="33"/>
        <c:spPr>
          <a:solidFill>
            <a:schemeClr val="accent5">
              <a:lumMod val="60000"/>
              <a:lumOff val="40000"/>
              <a:alpha val="99000"/>
            </a:schemeClr>
          </a:solidFill>
          <a:ln w="127000">
            <a:noFill/>
          </a:ln>
          <a:effectLst/>
        </c:spPr>
      </c:pivotFmt>
      <c:pivotFmt>
        <c:idx val="34"/>
        <c:spPr>
          <a:solidFill>
            <a:schemeClr val="accent5">
              <a:lumMod val="75000"/>
              <a:alpha val="99000"/>
            </a:schemeClr>
          </a:solidFill>
          <a:ln w="127000">
            <a:noFill/>
          </a:ln>
          <a:effectLst/>
        </c:spPr>
      </c:pivotFmt>
      <c:pivotFmt>
        <c:idx val="35"/>
        <c:spPr>
          <a:solidFill>
            <a:schemeClr val="accent5">
              <a:lumMod val="75000"/>
              <a:alpha val="99000"/>
            </a:schemeClr>
          </a:solidFill>
          <a:ln w="127000">
            <a:noFill/>
          </a:ln>
          <a:effectLst/>
        </c:spPr>
      </c:pivotFmt>
      <c:pivotFmt>
        <c:idx val="36"/>
        <c:spPr>
          <a:solidFill>
            <a:schemeClr val="accent5">
              <a:lumMod val="75000"/>
              <a:alpha val="99000"/>
            </a:schemeClr>
          </a:solidFill>
          <a:ln w="127000">
            <a:noFill/>
          </a:ln>
          <a:effectLst/>
        </c:spPr>
        <c:dLbl>
          <c:idx val="0"/>
          <c:layout>
            <c:manualLayout>
              <c:x val="6.3829840701826693E-2"/>
              <c:y val="-2.44399185336048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60000"/>
              <a:lumOff val="40000"/>
              <a:alpha val="99000"/>
            </a:schemeClr>
          </a:solidFill>
          <a:ln w="127000">
            <a:noFill/>
          </a:ln>
          <a:effectLst/>
        </c:spPr>
      </c:pivotFmt>
      <c:pivotFmt>
        <c:idx val="38"/>
        <c:spPr>
          <a:solidFill>
            <a:schemeClr val="accent5">
              <a:lumMod val="40000"/>
              <a:lumOff val="60000"/>
              <a:alpha val="99000"/>
            </a:schemeClr>
          </a:solidFill>
          <a:ln w="127000">
            <a:noFill/>
          </a:ln>
          <a:effectLst/>
        </c:spPr>
      </c:pivotFmt>
      <c:pivotFmt>
        <c:idx val="39"/>
        <c:spPr>
          <a:solidFill>
            <a:schemeClr val="accent5">
              <a:lumMod val="50000"/>
              <a:alpha val="99000"/>
            </a:schemeClr>
          </a:solidFill>
          <a:ln w="127000">
            <a:noFill/>
          </a:ln>
          <a:effectLst/>
        </c:spPr>
      </c:pivotFmt>
    </c:pivotFmts>
    <c:plotArea>
      <c:layout>
        <c:manualLayout>
          <c:layoutTarget val="inner"/>
          <c:xMode val="edge"/>
          <c:yMode val="edge"/>
          <c:x val="0.28674458598139219"/>
          <c:y val="0.20403258655804479"/>
          <c:w val="0.39832316830555226"/>
          <c:h val="0.76257324759048706"/>
        </c:manualLayout>
      </c:layout>
      <c:pieChart>
        <c:varyColors val="1"/>
        <c:ser>
          <c:idx val="0"/>
          <c:order val="0"/>
          <c:tx>
            <c:strRef>
              <c:f>'SALES BY REGION'!$B$3</c:f>
              <c:strCache>
                <c:ptCount val="1"/>
                <c:pt idx="0">
                  <c:v>Total</c:v>
                </c:pt>
              </c:strCache>
            </c:strRef>
          </c:tx>
          <c:spPr>
            <a:solidFill>
              <a:schemeClr val="accent5">
                <a:lumMod val="50000"/>
                <a:alpha val="99000"/>
              </a:schemeClr>
            </a:solidFill>
            <a:ln w="127000"/>
          </c:spPr>
          <c:dPt>
            <c:idx val="0"/>
            <c:bubble3D val="0"/>
            <c:spPr>
              <a:solidFill>
                <a:schemeClr val="accent5">
                  <a:lumMod val="50000"/>
                  <a:alpha val="99000"/>
                </a:schemeClr>
              </a:solidFill>
              <a:ln w="127000">
                <a:noFill/>
              </a:ln>
              <a:effectLst/>
            </c:spPr>
            <c:extLst>
              <c:ext xmlns:c16="http://schemas.microsoft.com/office/drawing/2014/chart" uri="{C3380CC4-5D6E-409C-BE32-E72D297353CC}">
                <c16:uniqueId val="{00000001-2FEC-45CD-BD3F-D8C0E2CEE5EB}"/>
              </c:ext>
            </c:extLst>
          </c:dPt>
          <c:dPt>
            <c:idx val="1"/>
            <c:bubble3D val="0"/>
            <c:spPr>
              <a:solidFill>
                <a:schemeClr val="accent5">
                  <a:lumMod val="75000"/>
                  <a:alpha val="99000"/>
                </a:schemeClr>
              </a:solidFill>
              <a:ln w="127000">
                <a:noFill/>
              </a:ln>
              <a:effectLst/>
            </c:spPr>
            <c:extLst>
              <c:ext xmlns:c16="http://schemas.microsoft.com/office/drawing/2014/chart" uri="{C3380CC4-5D6E-409C-BE32-E72D297353CC}">
                <c16:uniqueId val="{00000003-2FEC-45CD-BD3F-D8C0E2CEE5EB}"/>
              </c:ext>
            </c:extLst>
          </c:dPt>
          <c:dPt>
            <c:idx val="2"/>
            <c:bubble3D val="0"/>
            <c:spPr>
              <a:solidFill>
                <a:schemeClr val="accent5">
                  <a:lumMod val="60000"/>
                  <a:lumOff val="40000"/>
                  <a:alpha val="99000"/>
                </a:schemeClr>
              </a:solidFill>
              <a:ln w="127000">
                <a:noFill/>
              </a:ln>
              <a:effectLst/>
            </c:spPr>
            <c:extLst>
              <c:ext xmlns:c16="http://schemas.microsoft.com/office/drawing/2014/chart" uri="{C3380CC4-5D6E-409C-BE32-E72D297353CC}">
                <c16:uniqueId val="{00000005-2FEC-45CD-BD3F-D8C0E2CEE5EB}"/>
              </c:ext>
            </c:extLst>
          </c:dPt>
          <c:dPt>
            <c:idx val="3"/>
            <c:bubble3D val="0"/>
            <c:spPr>
              <a:solidFill>
                <a:schemeClr val="accent5">
                  <a:lumMod val="40000"/>
                  <a:lumOff val="60000"/>
                  <a:alpha val="99000"/>
                </a:schemeClr>
              </a:solidFill>
              <a:ln w="127000">
                <a:noFill/>
              </a:ln>
              <a:effectLst/>
            </c:spPr>
            <c:extLst>
              <c:ext xmlns:c16="http://schemas.microsoft.com/office/drawing/2014/chart" uri="{C3380CC4-5D6E-409C-BE32-E72D297353CC}">
                <c16:uniqueId val="{00000007-2FEC-45CD-BD3F-D8C0E2CEE5EB}"/>
              </c:ext>
            </c:extLst>
          </c:dPt>
          <c:dPt>
            <c:idx val="4"/>
            <c:bubble3D val="0"/>
            <c:spPr>
              <a:solidFill>
                <a:schemeClr val="accent5">
                  <a:lumMod val="50000"/>
                  <a:alpha val="99000"/>
                </a:schemeClr>
              </a:solidFill>
              <a:ln w="127000">
                <a:noFill/>
              </a:ln>
              <a:effectLst/>
            </c:spPr>
            <c:extLst>
              <c:ext xmlns:c16="http://schemas.microsoft.com/office/drawing/2014/chart" uri="{C3380CC4-5D6E-409C-BE32-E72D297353CC}">
                <c16:uniqueId val="{00000009-2FEC-45CD-BD3F-D8C0E2CEE5EB}"/>
              </c:ext>
            </c:extLst>
          </c:dPt>
          <c:dPt>
            <c:idx val="5"/>
            <c:bubble3D val="0"/>
            <c:spPr>
              <a:solidFill>
                <a:schemeClr val="accent5">
                  <a:lumMod val="50000"/>
                  <a:alpha val="99000"/>
                </a:schemeClr>
              </a:solidFill>
              <a:ln w="127000">
                <a:noFill/>
              </a:ln>
              <a:effectLst/>
            </c:spPr>
            <c:extLst>
              <c:ext xmlns:c16="http://schemas.microsoft.com/office/drawing/2014/chart" uri="{C3380CC4-5D6E-409C-BE32-E72D297353CC}">
                <c16:uniqueId val="{0000000B-2FEC-45CD-BD3F-D8C0E2CEE5EB}"/>
              </c:ext>
            </c:extLst>
          </c:dPt>
          <c:dPt>
            <c:idx val="6"/>
            <c:bubble3D val="0"/>
            <c:spPr>
              <a:solidFill>
                <a:schemeClr val="accent5">
                  <a:lumMod val="50000"/>
                  <a:alpha val="99000"/>
                </a:schemeClr>
              </a:solidFill>
              <a:ln w="127000">
                <a:noFill/>
              </a:ln>
              <a:effectLst/>
            </c:spPr>
            <c:extLst>
              <c:ext xmlns:c16="http://schemas.microsoft.com/office/drawing/2014/chart" uri="{C3380CC4-5D6E-409C-BE32-E72D297353CC}">
                <c16:uniqueId val="{0000000D-2FEC-45CD-BD3F-D8C0E2CEE5EB}"/>
              </c:ext>
            </c:extLst>
          </c:dPt>
          <c:dPt>
            <c:idx val="7"/>
            <c:bubble3D val="0"/>
            <c:spPr>
              <a:solidFill>
                <a:schemeClr val="accent5">
                  <a:lumMod val="50000"/>
                  <a:alpha val="99000"/>
                </a:schemeClr>
              </a:solidFill>
              <a:ln w="127000">
                <a:noFill/>
              </a:ln>
              <a:effectLst/>
            </c:spPr>
            <c:extLst>
              <c:ext xmlns:c16="http://schemas.microsoft.com/office/drawing/2014/chart" uri="{C3380CC4-5D6E-409C-BE32-E72D297353CC}">
                <c16:uniqueId val="{0000000E-2FEC-45CD-BD3F-D8C0E2CEE5EB}"/>
              </c:ext>
            </c:extLst>
          </c:dPt>
          <c:dPt>
            <c:idx val="8"/>
            <c:bubble3D val="0"/>
            <c:spPr>
              <a:solidFill>
                <a:schemeClr val="accent5">
                  <a:lumMod val="50000"/>
                  <a:alpha val="99000"/>
                </a:schemeClr>
              </a:solidFill>
              <a:ln w="127000">
                <a:noFill/>
              </a:ln>
              <a:effectLst/>
            </c:spPr>
            <c:extLst>
              <c:ext xmlns:c16="http://schemas.microsoft.com/office/drawing/2014/chart" uri="{C3380CC4-5D6E-409C-BE32-E72D297353CC}">
                <c16:uniqueId val="{0000000F-2FEC-45CD-BD3F-D8C0E2CEE5EB}"/>
              </c:ext>
            </c:extLst>
          </c:dPt>
          <c:dLbls>
            <c:dLbl>
              <c:idx val="1"/>
              <c:layout>
                <c:manualLayout>
                  <c:x val="6.3829840701826693E-2"/>
                  <c:y val="-2.44399185336048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FEC-45CD-BD3F-D8C0E2CEE5E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0.32565240192434181</c:v>
                </c:pt>
                <c:pt idx="1">
                  <c:v>0.24887136705828836</c:v>
                </c:pt>
                <c:pt idx="2">
                  <c:v>0.21573346453789927</c:v>
                </c:pt>
                <c:pt idx="3">
                  <c:v>0.20974276647947063</c:v>
                </c:pt>
              </c:numCache>
            </c:numRef>
          </c:val>
          <c:extLst>
            <c:ext xmlns:c16="http://schemas.microsoft.com/office/drawing/2014/chart" uri="{C3380CC4-5D6E-409C-BE32-E72D297353CC}">
              <c16:uniqueId val="{00000010-2FEC-45CD-BD3F-D8C0E2CEE5EB}"/>
            </c:ext>
          </c:extLst>
        </c:ser>
        <c:dLbls>
          <c:dLblPos val="ctr"/>
          <c:showLegendKey val="0"/>
          <c:showVal val="1"/>
          <c:showCatName val="0"/>
          <c:showSerName val="0"/>
          <c:showPercent val="0"/>
          <c:showBubbleSize val="0"/>
          <c:showLeaderLines val="1"/>
        </c:dLbls>
        <c:firstSliceAng val="0"/>
      </c:pieChart>
      <c:spPr>
        <a:noFill/>
        <a:ln w="15875">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2700">
        <a:schemeClr val="accent1">
          <a:alpha val="40000"/>
        </a:schemeClr>
      </a:glow>
      <a:outerShdw blurRad="50800" dist="50800" dir="5400000" algn="ctr" rotWithShape="0">
        <a:srgbClr val="000000">
          <a:alpha val="98000"/>
        </a:srgb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[TARGET ANALYSED DATA.xlsx]SALES BY PRODUCT CATEGORY!PivotTable1</c:name>
    <c:fmtId val="9"/>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a:latin typeface="Amasi MT PRO"/>
              </a:rPr>
              <a:t>Sales By Product Category</a:t>
            </a:r>
          </a:p>
        </c:rich>
      </c:tx>
      <c:layout>
        <c:manualLayout>
          <c:xMode val="edge"/>
          <c:yMode val="edge"/>
          <c:x val="0.28701045988478796"/>
          <c:y val="3.665987780040733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alpha val="99000"/>
            </a:schemeClr>
          </a:solidFill>
          <a:ln w="127000">
            <a:noFill/>
          </a:ln>
          <a:effectLst/>
        </c:spPr>
      </c:pivotFmt>
      <c:pivotFmt>
        <c:idx val="3"/>
        <c:spPr>
          <a:solidFill>
            <a:schemeClr val="accent5">
              <a:lumMod val="75000"/>
              <a:alpha val="99000"/>
            </a:schemeClr>
          </a:solidFill>
          <a:ln w="127000">
            <a:noFill/>
          </a:ln>
          <a:effectLst/>
        </c:spPr>
      </c:pivotFmt>
      <c:pivotFmt>
        <c:idx val="4"/>
        <c:spPr>
          <a:solidFill>
            <a:schemeClr val="accent5">
              <a:lumMod val="60000"/>
              <a:lumOff val="40000"/>
              <a:alpha val="99000"/>
            </a:schemeClr>
          </a:solidFill>
          <a:ln w="127000">
            <a:noFill/>
          </a:ln>
          <a:effectLst/>
        </c:spPr>
      </c:pivotFmt>
      <c:pivotFmt>
        <c:idx val="5"/>
        <c:spPr>
          <a:solidFill>
            <a:schemeClr val="accent5">
              <a:lumMod val="60000"/>
              <a:lumOff val="40000"/>
              <a:alpha val="99000"/>
            </a:schemeClr>
          </a:solidFill>
          <a:ln w="127000">
            <a:noFill/>
          </a:ln>
          <a:effectLst/>
        </c:spPr>
      </c:pivotFmt>
      <c:pivotFmt>
        <c:idx val="6"/>
        <c:spPr>
          <a:solidFill>
            <a:schemeClr val="accent5">
              <a:lumMod val="75000"/>
              <a:alpha val="99000"/>
            </a:schemeClr>
          </a:solidFill>
          <a:ln w="127000">
            <a:noFill/>
          </a:ln>
          <a:effectLst/>
        </c:spPr>
      </c:pivotFmt>
      <c:pivotFmt>
        <c:idx val="7"/>
        <c:spPr>
          <a:solidFill>
            <a:schemeClr val="accent5">
              <a:lumMod val="40000"/>
              <a:lumOff val="60000"/>
              <a:alpha val="99000"/>
            </a:schemeClr>
          </a:solidFill>
          <a:ln w="127000">
            <a:noFill/>
          </a:ln>
          <a:effectLst/>
        </c:spPr>
      </c:pivotFmt>
      <c:pivotFmt>
        <c:idx val="8"/>
        <c:spPr>
          <a:solidFill>
            <a:schemeClr val="accent5">
              <a:lumMod val="20000"/>
              <a:lumOff val="80000"/>
              <a:alpha val="99000"/>
            </a:schemeClr>
          </a:solidFill>
          <a:ln w="127000">
            <a:noFill/>
          </a:ln>
          <a:effectLst/>
        </c:spPr>
      </c:pivotFmt>
      <c:pivotFmt>
        <c:idx val="9"/>
        <c:spPr>
          <a:solidFill>
            <a:schemeClr val="accent5">
              <a:lumMod val="20000"/>
              <a:lumOff val="80000"/>
              <a:alpha val="99000"/>
            </a:schemeClr>
          </a:solidFill>
          <a:ln w="127000">
            <a:noFill/>
          </a:ln>
          <a:effectLst/>
        </c:spPr>
      </c:pivotFmt>
      <c:pivotFmt>
        <c:idx val="10"/>
        <c:spPr>
          <a:solidFill>
            <a:schemeClr val="accent5">
              <a:lumMod val="75000"/>
              <a:alpha val="99000"/>
            </a:schemeClr>
          </a:solidFill>
          <a:ln w="127000">
            <a:noFill/>
          </a:ln>
          <a:effectLst/>
        </c:spPr>
      </c:pivotFmt>
      <c:pivotFmt>
        <c:idx val="11"/>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alpha val="99000"/>
            </a:schemeClr>
          </a:solidFill>
          <a:ln w="127000">
            <a:noFill/>
          </a:ln>
          <a:effectLst/>
        </c:spPr>
      </c:pivotFmt>
      <c:pivotFmt>
        <c:idx val="13"/>
        <c:spPr>
          <a:solidFill>
            <a:schemeClr val="accent5">
              <a:lumMod val="20000"/>
              <a:lumOff val="80000"/>
              <a:alpha val="99000"/>
            </a:schemeClr>
          </a:solidFill>
          <a:ln w="127000">
            <a:noFill/>
          </a:ln>
          <a:effectLst/>
        </c:spPr>
      </c:pivotFmt>
      <c:pivotFmt>
        <c:idx val="14"/>
        <c:spPr>
          <a:solidFill>
            <a:schemeClr val="accent5">
              <a:lumMod val="40000"/>
              <a:lumOff val="60000"/>
              <a:alpha val="99000"/>
            </a:schemeClr>
          </a:solidFill>
          <a:ln w="127000">
            <a:noFill/>
          </a:ln>
          <a:effectLst/>
        </c:spPr>
      </c:pivotFmt>
      <c:pivotFmt>
        <c:idx val="15"/>
        <c:spPr>
          <a:solidFill>
            <a:schemeClr val="accent5">
              <a:lumMod val="40000"/>
              <a:lumOff val="60000"/>
              <a:alpha val="99000"/>
            </a:schemeClr>
          </a:solidFill>
          <a:ln w="127000">
            <a:noFill/>
          </a:ln>
          <a:effectLst/>
        </c:spPr>
      </c:pivotFmt>
      <c:pivotFmt>
        <c:idx val="16"/>
        <c:spPr>
          <a:solidFill>
            <a:schemeClr val="accent5">
              <a:lumMod val="60000"/>
              <a:lumOff val="40000"/>
              <a:alpha val="99000"/>
            </a:schemeClr>
          </a:solidFill>
          <a:ln w="127000">
            <a:noFill/>
          </a:ln>
          <a:effectLst/>
        </c:spPr>
      </c:pivotFmt>
      <c:pivotFmt>
        <c:idx val="17"/>
        <c:spPr>
          <a:solidFill>
            <a:schemeClr val="accent5">
              <a:lumMod val="60000"/>
              <a:lumOff val="40000"/>
              <a:alpha val="99000"/>
            </a:schemeClr>
          </a:solidFill>
          <a:ln w="127000">
            <a:noFill/>
          </a:ln>
          <a:effectLst/>
        </c:spPr>
      </c:pivotFmt>
      <c:pivotFmt>
        <c:idx val="18"/>
        <c:spPr>
          <a:solidFill>
            <a:schemeClr val="accent5">
              <a:lumMod val="75000"/>
              <a:alpha val="99000"/>
            </a:schemeClr>
          </a:solidFill>
          <a:ln w="127000">
            <a:noFill/>
          </a:ln>
          <a:effectLst/>
        </c:spPr>
      </c:pivotFmt>
      <c:pivotFmt>
        <c:idx val="19"/>
        <c:spPr>
          <a:solidFill>
            <a:schemeClr val="accent5">
              <a:lumMod val="75000"/>
              <a:alpha val="99000"/>
            </a:schemeClr>
          </a:solidFill>
          <a:ln w="127000">
            <a:noFill/>
          </a:ln>
          <a:effectLst/>
        </c:spPr>
      </c:pivotFmt>
      <c:pivotFmt>
        <c:idx val="20"/>
        <c:spPr>
          <a:solidFill>
            <a:schemeClr val="accent5">
              <a:lumMod val="75000"/>
              <a:alpha val="99000"/>
            </a:schemeClr>
          </a:solidFill>
          <a:ln w="127000">
            <a:noFill/>
          </a:ln>
          <a:effectLst/>
        </c:spPr>
      </c:pivotFmt>
      <c:pivotFmt>
        <c:idx val="21"/>
        <c:spPr>
          <a:solidFill>
            <a:schemeClr val="accent5">
              <a:lumMod val="75000"/>
              <a:alpha val="99000"/>
            </a:schemeClr>
          </a:solidFill>
          <a:ln w="127000">
            <a:noFill/>
          </a:ln>
          <a:effectLst/>
        </c:spPr>
      </c:pivotFmt>
      <c:pivotFmt>
        <c:idx val="22"/>
        <c:spPr>
          <a:solidFill>
            <a:schemeClr val="accent5">
              <a:lumMod val="75000"/>
              <a:alpha val="99000"/>
            </a:schemeClr>
          </a:solidFill>
          <a:ln w="127000">
            <a:noFill/>
          </a:ln>
          <a:effectLst/>
        </c:spPr>
      </c:pivotFmt>
      <c:pivotFmt>
        <c:idx val="23"/>
        <c:spPr>
          <a:solidFill>
            <a:schemeClr val="accent5">
              <a:lumMod val="60000"/>
              <a:lumOff val="40000"/>
              <a:alpha val="99000"/>
            </a:schemeClr>
          </a:solidFill>
          <a:ln w="127000">
            <a:noFill/>
          </a:ln>
          <a:effectLst/>
        </c:spPr>
      </c:pivotFmt>
      <c:pivotFmt>
        <c:idx val="24"/>
        <c:spPr>
          <a:solidFill>
            <a:schemeClr val="accent5">
              <a:lumMod val="60000"/>
              <a:lumOff val="40000"/>
              <a:alpha val="99000"/>
            </a:schemeClr>
          </a:solidFill>
          <a:ln w="127000">
            <a:noFill/>
          </a:ln>
          <a:effectLst/>
        </c:spPr>
      </c:pivotFmt>
      <c:pivotFmt>
        <c:idx val="25"/>
        <c:spPr>
          <a:solidFill>
            <a:schemeClr val="accent5">
              <a:lumMod val="40000"/>
              <a:lumOff val="60000"/>
              <a:alpha val="99000"/>
            </a:schemeClr>
          </a:solidFill>
          <a:ln w="127000">
            <a:noFill/>
          </a:ln>
          <a:effectLst/>
        </c:spPr>
      </c:pivotFmt>
      <c:pivotFmt>
        <c:idx val="26"/>
        <c:spPr>
          <a:solidFill>
            <a:schemeClr val="accent5">
              <a:lumMod val="40000"/>
              <a:lumOff val="60000"/>
              <a:alpha val="99000"/>
            </a:schemeClr>
          </a:solidFill>
          <a:ln w="127000">
            <a:noFill/>
          </a:ln>
          <a:effectLst/>
        </c:spPr>
      </c:pivotFmt>
      <c:pivotFmt>
        <c:idx val="27"/>
        <c:spPr>
          <a:solidFill>
            <a:schemeClr val="accent5">
              <a:lumMod val="20000"/>
              <a:lumOff val="80000"/>
              <a:alpha val="99000"/>
            </a:schemeClr>
          </a:solidFill>
          <a:ln w="127000">
            <a:noFill/>
          </a:ln>
          <a:effectLst/>
        </c:spPr>
      </c:pivotFmt>
      <c:pivotFmt>
        <c:idx val="28"/>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20000"/>
              <a:lumOff val="80000"/>
              <a:alpha val="99000"/>
            </a:schemeClr>
          </a:solidFill>
          <a:ln w="127000">
            <a:noFill/>
          </a:ln>
          <a:effectLst/>
        </c:spPr>
      </c:pivotFmt>
      <c:pivotFmt>
        <c:idx val="30"/>
        <c:spPr>
          <a:solidFill>
            <a:schemeClr val="accent5">
              <a:lumMod val="40000"/>
              <a:lumOff val="60000"/>
              <a:alpha val="99000"/>
            </a:schemeClr>
          </a:solidFill>
          <a:ln w="127000">
            <a:noFill/>
          </a:ln>
          <a:effectLst/>
        </c:spPr>
      </c:pivotFmt>
      <c:pivotFmt>
        <c:idx val="31"/>
        <c:spPr>
          <a:solidFill>
            <a:schemeClr val="accent5">
              <a:lumMod val="40000"/>
              <a:lumOff val="60000"/>
              <a:alpha val="99000"/>
            </a:schemeClr>
          </a:solidFill>
          <a:ln w="127000">
            <a:noFill/>
          </a:ln>
          <a:effectLst/>
        </c:spPr>
      </c:pivotFmt>
      <c:pivotFmt>
        <c:idx val="32"/>
        <c:spPr>
          <a:solidFill>
            <a:schemeClr val="accent5">
              <a:lumMod val="60000"/>
              <a:lumOff val="40000"/>
              <a:alpha val="99000"/>
            </a:schemeClr>
          </a:solidFill>
          <a:ln w="127000">
            <a:noFill/>
          </a:ln>
          <a:effectLst/>
        </c:spPr>
      </c:pivotFmt>
      <c:pivotFmt>
        <c:idx val="33"/>
        <c:spPr>
          <a:solidFill>
            <a:schemeClr val="accent5">
              <a:lumMod val="60000"/>
              <a:lumOff val="40000"/>
              <a:alpha val="99000"/>
            </a:schemeClr>
          </a:solidFill>
          <a:ln w="127000">
            <a:noFill/>
          </a:ln>
          <a:effectLst/>
        </c:spPr>
      </c:pivotFmt>
      <c:pivotFmt>
        <c:idx val="34"/>
        <c:spPr>
          <a:solidFill>
            <a:schemeClr val="accent5">
              <a:lumMod val="75000"/>
              <a:alpha val="99000"/>
            </a:schemeClr>
          </a:solidFill>
          <a:ln w="127000">
            <a:noFill/>
          </a:ln>
          <a:effectLst/>
        </c:spPr>
      </c:pivotFmt>
      <c:pivotFmt>
        <c:idx val="35"/>
        <c:spPr>
          <a:solidFill>
            <a:schemeClr val="accent5">
              <a:lumMod val="75000"/>
              <a:alpha val="99000"/>
            </a:schemeClr>
          </a:solidFill>
          <a:ln w="127000">
            <a:noFill/>
          </a:ln>
          <a:effectLst/>
        </c:spPr>
      </c:pivotFmt>
      <c:pivotFmt>
        <c:idx val="36"/>
        <c:spPr>
          <a:solidFill>
            <a:schemeClr val="accent5">
              <a:lumMod val="75000"/>
              <a:alpha val="99000"/>
            </a:schemeClr>
          </a:solidFill>
          <a:ln w="127000">
            <a:noFill/>
          </a:ln>
          <a:effectLst/>
        </c:spPr>
      </c:pivotFmt>
      <c:pivotFmt>
        <c:idx val="37"/>
        <c:spPr>
          <a:solidFill>
            <a:schemeClr val="accent5">
              <a:lumMod val="60000"/>
              <a:lumOff val="40000"/>
              <a:alpha val="99000"/>
            </a:schemeClr>
          </a:solidFill>
          <a:ln w="127000">
            <a:noFill/>
          </a:ln>
          <a:effectLst/>
        </c:spPr>
      </c:pivotFmt>
      <c:pivotFmt>
        <c:idx val="38"/>
        <c:spPr>
          <a:solidFill>
            <a:schemeClr val="accent5">
              <a:lumMod val="40000"/>
              <a:lumOff val="60000"/>
              <a:alpha val="99000"/>
            </a:schemeClr>
          </a:solidFill>
          <a:ln w="127000">
            <a:noFill/>
          </a:ln>
          <a:effectLst/>
        </c:spPr>
      </c:pivotFmt>
      <c:pivotFmt>
        <c:idx val="39"/>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40000"/>
              <a:lumOff val="60000"/>
              <a:alpha val="99000"/>
            </a:schemeClr>
          </a:solidFill>
          <a:ln w="127000">
            <a:noFill/>
          </a:ln>
          <a:effectLst/>
        </c:spPr>
      </c:pivotFmt>
      <c:pivotFmt>
        <c:idx val="41"/>
        <c:spPr>
          <a:solidFill>
            <a:schemeClr val="accent5">
              <a:lumMod val="60000"/>
              <a:lumOff val="40000"/>
              <a:alpha val="99000"/>
            </a:schemeClr>
          </a:solidFill>
          <a:ln w="127000">
            <a:noFill/>
          </a:ln>
          <a:effectLst/>
        </c:spPr>
      </c:pivotFmt>
      <c:pivotFmt>
        <c:idx val="42"/>
        <c:spPr>
          <a:solidFill>
            <a:schemeClr val="accent5">
              <a:lumMod val="75000"/>
              <a:alpha val="99000"/>
            </a:schemeClr>
          </a:solidFill>
          <a:ln w="127000">
            <a:noFill/>
          </a:ln>
          <a:effectLst/>
        </c:spPr>
      </c:pivotFmt>
      <c:pivotFmt>
        <c:idx val="43"/>
        <c:spPr>
          <a:solidFill>
            <a:schemeClr val="accent5">
              <a:lumMod val="50000"/>
              <a:alpha val="99000"/>
            </a:schemeClr>
          </a:solidFill>
          <a:ln w="127000">
            <a:noFill/>
          </a:ln>
          <a:effectLst/>
        </c:spPr>
      </c:pivotFmt>
      <c:pivotFmt>
        <c:idx val="44"/>
        <c:spPr>
          <a:solidFill>
            <a:schemeClr val="accent5">
              <a:lumMod val="75000"/>
              <a:alpha val="99000"/>
            </a:schemeClr>
          </a:solidFill>
          <a:ln w="127000">
            <a:noFill/>
          </a:ln>
          <a:effectLst/>
        </c:spPr>
      </c:pivotFmt>
      <c:pivotFmt>
        <c:idx val="45"/>
        <c:spPr>
          <a:solidFill>
            <a:schemeClr val="accent5">
              <a:lumMod val="60000"/>
              <a:lumOff val="40000"/>
              <a:alpha val="99000"/>
            </a:schemeClr>
          </a:solidFill>
          <a:ln w="127000">
            <a:noFill/>
          </a:ln>
          <a:effectLst/>
        </c:spPr>
      </c:pivotFmt>
      <c:pivotFmt>
        <c:idx val="46"/>
        <c:spPr>
          <a:solidFill>
            <a:schemeClr val="accent5">
              <a:lumMod val="40000"/>
              <a:lumOff val="60000"/>
              <a:alpha val="99000"/>
            </a:schemeClr>
          </a:solidFill>
          <a:ln w="127000">
            <a:noFill/>
          </a:ln>
          <a:effectLst/>
        </c:spPr>
      </c:pivotFmt>
      <c:pivotFmt>
        <c:idx val="47"/>
        <c:spPr>
          <a:solidFill>
            <a:schemeClr val="accent5">
              <a:lumMod val="50000"/>
              <a:alpha val="99000"/>
            </a:schemeClr>
          </a:solidFill>
          <a:ln w="127000">
            <a:noFill/>
          </a:ln>
          <a:effectLst/>
        </c:spPr>
      </c:pivotFmt>
      <c:pivotFmt>
        <c:idx val="48"/>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5">
              <a:lumMod val="40000"/>
              <a:lumOff val="60000"/>
              <a:alpha val="99000"/>
            </a:schemeClr>
          </a:solidFill>
          <a:ln w="127000">
            <a:noFill/>
          </a:ln>
          <a:effectLst/>
        </c:spPr>
      </c:pivotFmt>
      <c:pivotFmt>
        <c:idx val="50"/>
        <c:spPr>
          <a:solidFill>
            <a:schemeClr val="accent5">
              <a:lumMod val="60000"/>
              <a:lumOff val="40000"/>
              <a:alpha val="99000"/>
            </a:schemeClr>
          </a:solidFill>
          <a:ln w="127000">
            <a:noFill/>
          </a:ln>
          <a:effectLst/>
        </c:spPr>
      </c:pivotFmt>
      <c:pivotFmt>
        <c:idx val="51"/>
        <c:spPr>
          <a:solidFill>
            <a:schemeClr val="accent5">
              <a:lumMod val="75000"/>
              <a:alpha val="99000"/>
            </a:schemeClr>
          </a:solidFill>
          <a:ln w="127000">
            <a:noFill/>
          </a:ln>
          <a:effectLst/>
        </c:spPr>
      </c:pivotFmt>
      <c:pivotFmt>
        <c:idx val="52"/>
        <c:spPr>
          <a:solidFill>
            <a:schemeClr val="accent5">
              <a:lumMod val="50000"/>
              <a:alpha val="99000"/>
            </a:schemeClr>
          </a:solidFill>
          <a:ln w="127000">
            <a:noFill/>
          </a:ln>
          <a:effectLst/>
        </c:spPr>
      </c:pivotFmt>
      <c:pivotFmt>
        <c:idx val="53"/>
        <c:spPr>
          <a:solidFill>
            <a:schemeClr val="accent5">
              <a:lumMod val="75000"/>
              <a:alpha val="99000"/>
            </a:schemeClr>
          </a:solidFill>
          <a:ln w="127000">
            <a:noFill/>
          </a:ln>
          <a:effectLst/>
        </c:spPr>
      </c:pivotFmt>
      <c:pivotFmt>
        <c:idx val="54"/>
        <c:spPr>
          <a:solidFill>
            <a:schemeClr val="accent5">
              <a:lumMod val="75000"/>
              <a:alpha val="99000"/>
            </a:schemeClr>
          </a:solidFill>
          <a:ln w="127000">
            <a:noFill/>
          </a:ln>
          <a:effectLst/>
        </c:spPr>
      </c:pivotFmt>
      <c:pivotFmt>
        <c:idx val="55"/>
        <c:spPr>
          <a:solidFill>
            <a:schemeClr val="accent5">
              <a:lumMod val="60000"/>
              <a:lumOff val="40000"/>
              <a:alpha val="99000"/>
            </a:schemeClr>
          </a:solidFill>
          <a:ln w="127000">
            <a:noFill/>
          </a:ln>
          <a:effectLst/>
        </c:spPr>
      </c:pivotFmt>
      <c:pivotFmt>
        <c:idx val="56"/>
        <c:spPr>
          <a:solidFill>
            <a:schemeClr val="accent5">
              <a:lumMod val="60000"/>
              <a:lumOff val="40000"/>
              <a:alpha val="99000"/>
            </a:schemeClr>
          </a:solidFill>
          <a:ln w="127000">
            <a:noFill/>
          </a:ln>
          <a:effectLst/>
        </c:spPr>
      </c:pivotFmt>
      <c:pivotFmt>
        <c:idx val="57"/>
        <c:spPr>
          <a:solidFill>
            <a:schemeClr val="accent5">
              <a:lumMod val="40000"/>
              <a:lumOff val="60000"/>
              <a:alpha val="99000"/>
            </a:schemeClr>
          </a:solidFill>
          <a:ln w="127000">
            <a:noFill/>
          </a:ln>
          <a:effectLst/>
        </c:spPr>
      </c:pivotFmt>
      <c:pivotFmt>
        <c:idx val="58"/>
        <c:spPr>
          <a:solidFill>
            <a:schemeClr val="accent5">
              <a:lumMod val="40000"/>
              <a:lumOff val="60000"/>
              <a:alpha val="99000"/>
            </a:schemeClr>
          </a:solidFill>
          <a:ln w="127000">
            <a:noFill/>
          </a:ln>
          <a:effectLst/>
        </c:spPr>
      </c:pivotFmt>
      <c:pivotFmt>
        <c:idx val="59"/>
        <c:spPr>
          <a:solidFill>
            <a:schemeClr val="accent5">
              <a:lumMod val="40000"/>
              <a:lumOff val="60000"/>
              <a:alpha val="99000"/>
            </a:schemeClr>
          </a:solidFill>
          <a:ln w="127000">
            <a:noFill/>
          </a:ln>
          <a:effectLst/>
        </c:spPr>
      </c:pivotFmt>
      <c:pivotFmt>
        <c:idx val="60"/>
        <c:spPr>
          <a:solidFill>
            <a:schemeClr val="accent5">
              <a:lumMod val="20000"/>
              <a:lumOff val="80000"/>
              <a:alpha val="99000"/>
            </a:schemeClr>
          </a:solidFill>
          <a:ln w="127000">
            <a:noFill/>
          </a:ln>
          <a:effectLst/>
        </c:spPr>
      </c:pivotFmt>
      <c:pivotFmt>
        <c:idx val="61"/>
        <c:spPr>
          <a:solidFill>
            <a:schemeClr val="accent5">
              <a:lumMod val="20000"/>
              <a:lumOff val="80000"/>
              <a:alpha val="99000"/>
            </a:schemeClr>
          </a:solidFill>
          <a:ln w="127000">
            <a:noFill/>
          </a:ln>
          <a:effectLst/>
        </c:spPr>
      </c:pivotFmt>
      <c:pivotFmt>
        <c:idx val="62"/>
        <c:spPr>
          <a:solidFill>
            <a:schemeClr val="accent5">
              <a:lumMod val="20000"/>
              <a:lumOff val="80000"/>
              <a:alpha val="99000"/>
            </a:schemeClr>
          </a:solidFill>
          <a:ln w="127000">
            <a:noFill/>
          </a:ln>
          <a:effectLst/>
        </c:spPr>
      </c:pivotFmt>
      <c:pivotFmt>
        <c:idx val="63"/>
        <c:spPr>
          <a:solidFill>
            <a:schemeClr val="accent5">
              <a:lumMod val="75000"/>
              <a:alpha val="99000"/>
            </a:schemeClr>
          </a:solidFill>
          <a:ln w="127000">
            <a:noFill/>
          </a:ln>
          <a:effectLst/>
        </c:spPr>
      </c:pivotFmt>
      <c:pivotFmt>
        <c:idx val="64"/>
        <c:spPr>
          <a:solidFill>
            <a:schemeClr val="accent5">
              <a:lumMod val="75000"/>
              <a:alpha val="99000"/>
            </a:schemeClr>
          </a:solidFill>
          <a:ln w="127000">
            <a:noFill/>
          </a:ln>
          <a:effectLst/>
        </c:spPr>
      </c:pivotFmt>
      <c:pivotFmt>
        <c:idx val="65"/>
        <c:spPr>
          <a:solidFill>
            <a:schemeClr val="accent5">
              <a:lumMod val="75000"/>
              <a:alpha val="99000"/>
            </a:schemeClr>
          </a:solidFill>
          <a:ln w="127000">
            <a:noFill/>
          </a:ln>
          <a:effectLst/>
        </c:spPr>
      </c:pivotFmt>
      <c:pivotFmt>
        <c:idx val="66"/>
        <c:spPr>
          <a:solidFill>
            <a:schemeClr val="accent5">
              <a:lumMod val="60000"/>
              <a:lumOff val="40000"/>
              <a:alpha val="99000"/>
            </a:schemeClr>
          </a:solidFill>
          <a:ln w="127000">
            <a:noFill/>
          </a:ln>
          <a:effectLst/>
        </c:spPr>
      </c:pivotFmt>
      <c:pivotFmt>
        <c:idx val="67"/>
        <c:spPr>
          <a:solidFill>
            <a:schemeClr val="accent5">
              <a:lumMod val="60000"/>
              <a:lumOff val="40000"/>
              <a:alpha val="99000"/>
            </a:schemeClr>
          </a:solidFill>
          <a:ln w="127000">
            <a:noFill/>
          </a:ln>
          <a:effectLst/>
        </c:spPr>
      </c:pivotFmt>
      <c:pivotFmt>
        <c:idx val="68"/>
        <c:spPr>
          <a:solidFill>
            <a:schemeClr val="accent5">
              <a:lumMod val="40000"/>
              <a:lumOff val="60000"/>
              <a:alpha val="99000"/>
            </a:schemeClr>
          </a:solidFill>
          <a:ln w="127000">
            <a:noFill/>
          </a:ln>
          <a:effectLst/>
        </c:spPr>
      </c:pivotFmt>
      <c:pivotFmt>
        <c:idx val="69"/>
        <c:spPr>
          <a:solidFill>
            <a:schemeClr val="accent5">
              <a:lumMod val="40000"/>
              <a:lumOff val="60000"/>
              <a:alpha val="99000"/>
            </a:schemeClr>
          </a:solidFill>
          <a:ln w="127000">
            <a:noFill/>
          </a:ln>
          <a:effectLst/>
        </c:spPr>
      </c:pivotFmt>
      <c:pivotFmt>
        <c:idx val="70"/>
        <c:spPr>
          <a:solidFill>
            <a:schemeClr val="accent5">
              <a:lumMod val="40000"/>
              <a:lumOff val="60000"/>
              <a:alpha val="99000"/>
            </a:schemeClr>
          </a:solidFill>
          <a:ln w="127000">
            <a:noFill/>
          </a:ln>
          <a:effectLst/>
        </c:spPr>
      </c:pivotFmt>
      <c:pivotFmt>
        <c:idx val="71"/>
        <c:spPr>
          <a:solidFill>
            <a:schemeClr val="accent5">
              <a:lumMod val="20000"/>
              <a:lumOff val="80000"/>
              <a:alpha val="99000"/>
            </a:schemeClr>
          </a:solidFill>
          <a:ln w="127000">
            <a:noFill/>
          </a:ln>
          <a:effectLst/>
        </c:spPr>
      </c:pivotFmt>
      <c:pivotFmt>
        <c:idx val="72"/>
        <c:spPr>
          <a:solidFill>
            <a:schemeClr val="accent5">
              <a:lumMod val="20000"/>
              <a:lumOff val="80000"/>
              <a:alpha val="99000"/>
            </a:schemeClr>
          </a:solidFill>
          <a:ln w="127000">
            <a:noFill/>
          </a:ln>
          <a:effectLst/>
        </c:spPr>
      </c:pivotFmt>
      <c:pivotFmt>
        <c:idx val="73"/>
        <c:spPr>
          <a:solidFill>
            <a:schemeClr val="accent5">
              <a:lumMod val="75000"/>
              <a:alpha val="99000"/>
            </a:schemeClr>
          </a:solidFill>
          <a:ln w="127000">
            <a:noFill/>
          </a:ln>
          <a:effectLst/>
        </c:spPr>
      </c:pivotFmt>
      <c:pivotFmt>
        <c:idx val="74"/>
        <c:spPr>
          <a:solidFill>
            <a:schemeClr val="accent5">
              <a:lumMod val="60000"/>
              <a:lumOff val="40000"/>
              <a:alpha val="99000"/>
            </a:schemeClr>
          </a:solidFill>
          <a:ln w="127000">
            <a:noFill/>
          </a:ln>
          <a:effectLst/>
        </c:spPr>
      </c:pivotFmt>
      <c:pivotFmt>
        <c:idx val="75"/>
        <c:spPr>
          <a:solidFill>
            <a:schemeClr val="accent5">
              <a:lumMod val="40000"/>
              <a:lumOff val="60000"/>
              <a:alpha val="99000"/>
            </a:schemeClr>
          </a:solidFill>
          <a:ln w="127000">
            <a:noFill/>
          </a:ln>
          <a:effectLst/>
        </c:spPr>
      </c:pivotFmt>
      <c:pivotFmt>
        <c:idx val="76"/>
        <c:spPr>
          <a:solidFill>
            <a:schemeClr val="accent5">
              <a:lumMod val="20000"/>
              <a:lumOff val="80000"/>
              <a:alpha val="99000"/>
            </a:schemeClr>
          </a:solidFill>
          <a:ln w="127000">
            <a:noFill/>
          </a:ln>
          <a:effectLst/>
        </c:spPr>
      </c:pivotFmt>
    </c:pivotFmts>
    <c:plotArea>
      <c:layout>
        <c:manualLayout>
          <c:layoutTarget val="inner"/>
          <c:xMode val="edge"/>
          <c:yMode val="edge"/>
          <c:x val="0.13032847238102899"/>
          <c:y val="0.14293279022403257"/>
          <c:w val="0.80265555591854243"/>
          <c:h val="0.75442660807928541"/>
        </c:manualLayout>
      </c:layout>
      <c:barChart>
        <c:barDir val="col"/>
        <c:grouping val="clustered"/>
        <c:varyColors val="0"/>
        <c:ser>
          <c:idx val="0"/>
          <c:order val="0"/>
          <c:tx>
            <c:strRef>
              <c:f>'SALES BY PRODUCT CATEGORY'!$B$3</c:f>
              <c:strCache>
                <c:ptCount val="1"/>
                <c:pt idx="0">
                  <c:v>Total</c:v>
                </c:pt>
              </c:strCache>
            </c:strRef>
          </c:tx>
          <c:spPr>
            <a:solidFill>
              <a:schemeClr val="accent5">
                <a:lumMod val="50000"/>
                <a:alpha val="99000"/>
              </a:schemeClr>
            </a:solidFill>
            <a:ln w="127000">
              <a:noFill/>
            </a:ln>
            <a:effectLst/>
          </c:spPr>
          <c:invertIfNegative val="0"/>
          <c:dPt>
            <c:idx val="0"/>
            <c:invertIfNegative val="0"/>
            <c:bubble3D val="0"/>
            <c:extLst>
              <c:ext xmlns:c16="http://schemas.microsoft.com/office/drawing/2014/chart" uri="{C3380CC4-5D6E-409C-BE32-E72D297353CC}">
                <c16:uniqueId val="{00000009-CDA3-4ED3-8402-115B4816038B}"/>
              </c:ext>
            </c:extLst>
          </c:dPt>
          <c:dPt>
            <c:idx val="1"/>
            <c:invertIfNegative val="0"/>
            <c:bubble3D val="0"/>
            <c:spPr>
              <a:solidFill>
                <a:schemeClr val="accent5">
                  <a:lumMod val="75000"/>
                  <a:alpha val="99000"/>
                </a:schemeClr>
              </a:solidFill>
              <a:ln w="127000">
                <a:noFill/>
              </a:ln>
              <a:effectLst/>
            </c:spPr>
            <c:extLst>
              <c:ext xmlns:c16="http://schemas.microsoft.com/office/drawing/2014/chart" uri="{C3380CC4-5D6E-409C-BE32-E72D297353CC}">
                <c16:uniqueId val="{00000008-CDA3-4ED3-8402-115B4816038B}"/>
              </c:ext>
            </c:extLst>
          </c:dPt>
          <c:dPt>
            <c:idx val="2"/>
            <c:invertIfNegative val="0"/>
            <c:bubble3D val="0"/>
            <c:spPr>
              <a:solidFill>
                <a:schemeClr val="accent5">
                  <a:lumMod val="60000"/>
                  <a:lumOff val="40000"/>
                  <a:alpha val="99000"/>
                </a:schemeClr>
              </a:solidFill>
              <a:ln w="127000">
                <a:noFill/>
              </a:ln>
              <a:effectLst/>
            </c:spPr>
            <c:extLst>
              <c:ext xmlns:c16="http://schemas.microsoft.com/office/drawing/2014/chart" uri="{C3380CC4-5D6E-409C-BE32-E72D297353CC}">
                <c16:uniqueId val="{00000007-CDA3-4ED3-8402-115B4816038B}"/>
              </c:ext>
            </c:extLst>
          </c:dPt>
          <c:dPt>
            <c:idx val="3"/>
            <c:invertIfNegative val="0"/>
            <c:bubble3D val="0"/>
            <c:spPr>
              <a:solidFill>
                <a:schemeClr val="accent5">
                  <a:lumMod val="40000"/>
                  <a:lumOff val="60000"/>
                  <a:alpha val="99000"/>
                </a:schemeClr>
              </a:solidFill>
              <a:ln w="127000">
                <a:noFill/>
              </a:ln>
              <a:effectLst/>
            </c:spPr>
            <c:extLst>
              <c:ext xmlns:c16="http://schemas.microsoft.com/office/drawing/2014/chart" uri="{C3380CC4-5D6E-409C-BE32-E72D297353CC}">
                <c16:uniqueId val="{00000006-CDA3-4ED3-8402-115B4816038B}"/>
              </c:ext>
            </c:extLst>
          </c:dPt>
          <c:dPt>
            <c:idx val="4"/>
            <c:invertIfNegative val="0"/>
            <c:bubble3D val="0"/>
            <c:spPr>
              <a:solidFill>
                <a:schemeClr val="accent5">
                  <a:lumMod val="20000"/>
                  <a:lumOff val="80000"/>
                  <a:alpha val="99000"/>
                </a:schemeClr>
              </a:solidFill>
              <a:ln w="127000">
                <a:noFill/>
              </a:ln>
              <a:effectLst/>
            </c:spPr>
            <c:extLst>
              <c:ext xmlns:c16="http://schemas.microsoft.com/office/drawing/2014/chart" uri="{C3380CC4-5D6E-409C-BE32-E72D297353CC}">
                <c16:uniqueId val="{00000005-CDA3-4ED3-8402-115B4816038B}"/>
              </c:ext>
            </c:extLst>
          </c:dPt>
          <c:dPt>
            <c:idx val="5"/>
            <c:invertIfNegative val="0"/>
            <c:bubble3D val="0"/>
            <c:extLst>
              <c:ext xmlns:c16="http://schemas.microsoft.com/office/drawing/2014/chart" uri="{C3380CC4-5D6E-409C-BE32-E72D297353CC}">
                <c16:uniqueId val="{00000004-CDA3-4ED3-8402-115B4816038B}"/>
              </c:ext>
            </c:extLst>
          </c:dPt>
          <c:dPt>
            <c:idx val="6"/>
            <c:invertIfNegative val="0"/>
            <c:bubble3D val="0"/>
            <c:extLst>
              <c:ext xmlns:c16="http://schemas.microsoft.com/office/drawing/2014/chart" uri="{C3380CC4-5D6E-409C-BE32-E72D297353CC}">
                <c16:uniqueId val="{00000003-CDA3-4ED3-8402-115B4816038B}"/>
              </c:ext>
            </c:extLst>
          </c:dPt>
          <c:dPt>
            <c:idx val="7"/>
            <c:invertIfNegative val="0"/>
            <c:bubble3D val="0"/>
            <c:extLst>
              <c:ext xmlns:c16="http://schemas.microsoft.com/office/drawing/2014/chart" uri="{C3380CC4-5D6E-409C-BE32-E72D297353CC}">
                <c16:uniqueId val="{00000002-CDA3-4ED3-8402-115B4816038B}"/>
              </c:ext>
            </c:extLst>
          </c:dPt>
          <c:dPt>
            <c:idx val="8"/>
            <c:invertIfNegative val="0"/>
            <c:bubble3D val="0"/>
            <c:extLst>
              <c:ext xmlns:c16="http://schemas.microsoft.com/office/drawing/2014/chart" uri="{C3380CC4-5D6E-409C-BE32-E72D297353CC}">
                <c16:uniqueId val="{00000001-CDA3-4ED3-8402-115B4816038B}"/>
              </c:ext>
            </c:extLst>
          </c:dPt>
          <c:dPt>
            <c:idx val="9"/>
            <c:invertIfNegative val="0"/>
            <c:bubble3D val="0"/>
            <c:extLst>
              <c:ext xmlns:c16="http://schemas.microsoft.com/office/drawing/2014/chart" uri="{C3380CC4-5D6E-409C-BE32-E72D297353CC}">
                <c16:uniqueId val="{00000000-CDA3-4ED3-8402-115B4816038B}"/>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CATEGORY'!$A$4:$A$9</c:f>
              <c:strCache>
                <c:ptCount val="5"/>
                <c:pt idx="0">
                  <c:v>Beverages</c:v>
                </c:pt>
                <c:pt idx="1">
                  <c:v>Sauces</c:v>
                </c:pt>
                <c:pt idx="2">
                  <c:v>Jams, Preserves</c:v>
                </c:pt>
                <c:pt idx="3">
                  <c:v>Dairy Products</c:v>
                </c:pt>
                <c:pt idx="4">
                  <c:v>Dried Fruit &amp; Nuts</c:v>
                </c:pt>
              </c:strCache>
            </c:strRef>
          </c:cat>
          <c:val>
            <c:numRef>
              <c:f>'SALES BY PRODUCT CATEGORY'!$B$4:$B$9</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12-7C58-4F78-836A-2DC68AD419E0}"/>
            </c:ext>
          </c:extLst>
        </c:ser>
        <c:dLbls>
          <c:dLblPos val="outEnd"/>
          <c:showLegendKey val="0"/>
          <c:showVal val="1"/>
          <c:showCatName val="0"/>
          <c:showSerName val="0"/>
          <c:showPercent val="0"/>
          <c:showBubbleSize val="0"/>
        </c:dLbls>
        <c:gapWidth val="60"/>
        <c:axId val="747753344"/>
        <c:axId val="747765824"/>
      </c:barChart>
      <c:valAx>
        <c:axId val="74776582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747753344"/>
        <c:crosses val="autoZero"/>
        <c:crossBetween val="between"/>
      </c:valAx>
      <c:catAx>
        <c:axId val="747753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776582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25400">
        <a:schemeClr val="accent5">
          <a:lumMod val="50000"/>
          <a:alpha val="40000"/>
        </a:schemeClr>
      </a:glow>
      <a:outerShdw blurRad="50800" dist="50800" dir="5400000" algn="ctr" rotWithShape="0">
        <a:srgbClr val="000000">
          <a:alpha val="99000"/>
        </a:srgbClr>
      </a:outerShdw>
      <a:softEdge rad="2540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[TARGET ANALYSED DATA.xlsx]TOP 5 CITIES BY REVENUE!PivotTable1</c:name>
    <c:fmtId val="2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latin typeface="Amasi MT PRO"/>
              </a:rPr>
              <a:t>Top</a:t>
            </a:r>
            <a:r>
              <a:rPr lang="en-US" sz="1200" baseline="0">
                <a:latin typeface="Amasi MT PRO"/>
              </a:rPr>
              <a:t> 5 Cities By Revenue</a:t>
            </a:r>
            <a:endParaRPr lang="en-US" sz="1200">
              <a:latin typeface="Amasi MT PRO"/>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dLbl>
          <c:idx val="0"/>
          <c:layout>
            <c:manualLayout>
              <c:x val="2.7777777777777776E-2"/>
              <c:y val="-0.375000000000000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dLbl>
          <c:idx val="0"/>
          <c:layout>
            <c:manualLayout>
              <c:x val="1.9444444444444445E-2"/>
              <c:y val="-0.370370370370370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dLbl>
          <c:idx val="0"/>
          <c:layout>
            <c:manualLayout>
              <c:x val="1.6666666666666614E-2"/>
              <c:y val="-0.365740740740740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dLbl>
          <c:idx val="0"/>
          <c:layout>
            <c:manualLayout>
              <c:x val="-1.1111111111111112E-2"/>
              <c:y val="-0.351851851851851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dLbl>
          <c:idx val="0"/>
          <c:layout>
            <c:manualLayout>
              <c:x val="-2.0370135052831988E-16"/>
              <c:y val="-0.36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'TOP 5 CITIES BY REVENUE'!$B$3</c:f>
              <c:strCache>
                <c:ptCount val="1"/>
                <c:pt idx="0">
                  <c:v>Total</c:v>
                </c:pt>
              </c:strCache>
            </c:strRef>
          </c:tx>
          <c:spPr>
            <a:solidFill>
              <a:schemeClr val="accent5">
                <a:lumMod val="50000"/>
              </a:schemeClr>
            </a:solidFill>
            <a:ln>
              <a:noFill/>
            </a:ln>
            <a:effectLst/>
          </c:spPr>
          <c:dPt>
            <c:idx val="0"/>
            <c:bubble3D val="0"/>
            <c:extLst>
              <c:ext xmlns:c16="http://schemas.microsoft.com/office/drawing/2014/chart" uri="{C3380CC4-5D6E-409C-BE32-E72D297353CC}">
                <c16:uniqueId val="{00000002-DF4C-4B44-85AF-B06F35BFBC7F}"/>
              </c:ext>
            </c:extLst>
          </c:dPt>
          <c:dPt>
            <c:idx val="1"/>
            <c:bubble3D val="0"/>
            <c:extLst>
              <c:ext xmlns:c16="http://schemas.microsoft.com/office/drawing/2014/chart" uri="{C3380CC4-5D6E-409C-BE32-E72D297353CC}">
                <c16:uniqueId val="{00000003-DF4C-4B44-85AF-B06F35BFBC7F}"/>
              </c:ext>
            </c:extLst>
          </c:dPt>
          <c:dPt>
            <c:idx val="2"/>
            <c:bubble3D val="0"/>
            <c:extLst>
              <c:ext xmlns:c16="http://schemas.microsoft.com/office/drawing/2014/chart" uri="{C3380CC4-5D6E-409C-BE32-E72D297353CC}">
                <c16:uniqueId val="{00000004-DF4C-4B44-85AF-B06F35BFBC7F}"/>
              </c:ext>
            </c:extLst>
          </c:dPt>
          <c:dPt>
            <c:idx val="3"/>
            <c:bubble3D val="0"/>
            <c:extLst>
              <c:ext xmlns:c16="http://schemas.microsoft.com/office/drawing/2014/chart" uri="{C3380CC4-5D6E-409C-BE32-E72D297353CC}">
                <c16:uniqueId val="{00000005-DF4C-4B44-85AF-B06F35BFBC7F}"/>
              </c:ext>
            </c:extLst>
          </c:dPt>
          <c:dPt>
            <c:idx val="4"/>
            <c:bubble3D val="0"/>
            <c:extLst>
              <c:ext xmlns:c16="http://schemas.microsoft.com/office/drawing/2014/chart" uri="{C3380CC4-5D6E-409C-BE32-E72D297353CC}">
                <c16:uniqueId val="{00000006-DF4C-4B44-85AF-B06F35BFBC7F}"/>
              </c:ext>
            </c:extLst>
          </c:dPt>
          <c:dLbls>
            <c:dLbl>
              <c:idx val="0"/>
              <c:layout>
                <c:manualLayout>
                  <c:x val="2.7777777777777776E-2"/>
                  <c:y val="-0.375000000000000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F4C-4B44-85AF-B06F35BFBC7F}"/>
                </c:ext>
              </c:extLst>
            </c:dLbl>
            <c:dLbl>
              <c:idx val="1"/>
              <c:layout>
                <c:manualLayout>
                  <c:x val="1.9444444444444445E-2"/>
                  <c:y val="-0.370370370370370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F4C-4B44-85AF-B06F35BFBC7F}"/>
                </c:ext>
              </c:extLst>
            </c:dLbl>
            <c:dLbl>
              <c:idx val="2"/>
              <c:layout>
                <c:manualLayout>
                  <c:x val="1.6666666666666614E-2"/>
                  <c:y val="-0.36574074074074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F4C-4B44-85AF-B06F35BFBC7F}"/>
                </c:ext>
              </c:extLst>
            </c:dLbl>
            <c:dLbl>
              <c:idx val="3"/>
              <c:layout>
                <c:manualLayout>
                  <c:x val="-1.1111111111111112E-2"/>
                  <c:y val="-0.351851851851851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F4C-4B44-85AF-B06F35BFBC7F}"/>
                </c:ext>
              </c:extLst>
            </c:dLbl>
            <c:dLbl>
              <c:idx val="4"/>
              <c:layout>
                <c:manualLayout>
                  <c:x val="-2.0370135052831988E-16"/>
                  <c:y val="-0.36111111111111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F4C-4B44-85AF-B06F35BFBC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CITIES BY REVENUE'!$A$4:$A$9</c:f>
              <c:strCache>
                <c:ptCount val="5"/>
                <c:pt idx="0">
                  <c:v>Chicago</c:v>
                </c:pt>
                <c:pt idx="1">
                  <c:v>Memphis</c:v>
                </c:pt>
                <c:pt idx="2">
                  <c:v>Miami</c:v>
                </c:pt>
                <c:pt idx="3">
                  <c:v>Portland</c:v>
                </c:pt>
                <c:pt idx="4">
                  <c:v>New York</c:v>
                </c:pt>
              </c:strCache>
            </c:strRef>
          </c:cat>
          <c:val>
            <c:numRef>
              <c:f>'TOP 5 CITIES BY REVENUE'!$B$4:$B$9</c:f>
              <c:numCache>
                <c:formatCode>"$"#,##0.00</c:formatCode>
                <c:ptCount val="5"/>
                <c:pt idx="0">
                  <c:v>41095.01</c:v>
                </c:pt>
                <c:pt idx="1">
                  <c:v>43713</c:v>
                </c:pt>
                <c:pt idx="2">
                  <c:v>50145.330000000009</c:v>
                </c:pt>
                <c:pt idx="3">
                  <c:v>50208.35</c:v>
                </c:pt>
                <c:pt idx="4">
                  <c:v>67180.5</c:v>
                </c:pt>
              </c:numCache>
            </c:numRef>
          </c:val>
          <c:extLst>
            <c:ext xmlns:c16="http://schemas.microsoft.com/office/drawing/2014/chart" uri="{C3380CC4-5D6E-409C-BE32-E72D297353CC}">
              <c16:uniqueId val="{00000000-DF4C-4B44-85AF-B06F35BFBC7F}"/>
            </c:ext>
          </c:extLst>
        </c:ser>
        <c:dLbls>
          <c:showLegendKey val="0"/>
          <c:showVal val="1"/>
          <c:showCatName val="0"/>
          <c:showSerName val="0"/>
          <c:showPercent val="0"/>
          <c:showBubbleSize val="0"/>
        </c:dLbls>
        <c:axId val="89145408"/>
        <c:axId val="89138208"/>
      </c:areaChart>
      <c:catAx>
        <c:axId val="89145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38208"/>
        <c:crosses val="autoZero"/>
        <c:auto val="1"/>
        <c:lblAlgn val="ctr"/>
        <c:lblOffset val="100"/>
        <c:noMultiLvlLbl val="0"/>
      </c:catAx>
      <c:valAx>
        <c:axId val="89138208"/>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891454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alpha val="98000"/>
        </a:schemeClr>
      </a:solidFill>
      <a:round/>
    </a:ln>
    <a:effectLst>
      <a:glow rad="25400">
        <a:schemeClr val="accent5">
          <a:lumMod val="50000"/>
          <a:alpha val="40000"/>
        </a:schemeClr>
      </a:glow>
      <a:outerShdw blurRad="50800" dist="88900" dir="5400000" algn="ctr" rotWithShape="0">
        <a:schemeClr val="accent5">
          <a:lumMod val="50000"/>
          <a:alpha val="99000"/>
        </a:scheme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[TARGET ANALYSED DATA.xlsx]TRANSACTION BY AMOUNT!PivotTable1</c:name>
    <c:fmtId val="2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lgerian" panose="04020705040A02060702" pitchFamily="82" charset="0"/>
                <a:ea typeface="+mn-ea"/>
                <a:cs typeface="+mn-cs"/>
              </a:defRPr>
            </a:pPr>
            <a:r>
              <a:rPr lang="en-US" sz="1200">
                <a:latin typeface="Amasi MT PRO"/>
              </a:rPr>
              <a:t>TRANSACTION</a:t>
            </a:r>
            <a:r>
              <a:rPr lang="en-US" sz="1200" baseline="0">
                <a:latin typeface="Amasi MT PRO"/>
              </a:rPr>
              <a:t> BY AMOUNT</a:t>
            </a:r>
            <a:endParaRPr lang="en-US" sz="1200">
              <a:latin typeface="Amasi MT PRO"/>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lgerian" panose="04020705040A02060702" pitchFamily="82" charset="0"/>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40000"/>
              <a:lumOff val="6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5">
              <a:lumMod val="20000"/>
              <a:lumOff val="80000"/>
            </a:schemeClr>
          </a:solidFill>
          <a:ln>
            <a:noFill/>
          </a:ln>
          <a:effectLst/>
        </c:spPr>
      </c:pivotFmt>
    </c:pivotFmts>
    <c:plotArea>
      <c:layout>
        <c:manualLayout>
          <c:layoutTarget val="inner"/>
          <c:xMode val="edge"/>
          <c:yMode val="edge"/>
          <c:x val="0.11258092738407699"/>
          <c:y val="0.15319444444444447"/>
          <c:w val="0.77795603674540681"/>
          <c:h val="0.77736111111111106"/>
        </c:manualLayout>
      </c:layout>
      <c:barChart>
        <c:barDir val="col"/>
        <c:grouping val="clustered"/>
        <c:varyColors val="0"/>
        <c:ser>
          <c:idx val="0"/>
          <c:order val="0"/>
          <c:tx>
            <c:strRef>
              <c:f>'TRANSACTION BY AMOUNT'!$B$3</c:f>
              <c:strCache>
                <c:ptCount val="1"/>
                <c:pt idx="0">
                  <c:v>Total</c:v>
                </c:pt>
              </c:strCache>
            </c:strRef>
          </c:tx>
          <c:spPr>
            <a:solidFill>
              <a:schemeClr val="accent5">
                <a:lumMod val="50000"/>
              </a:schemeClr>
            </a:solidFill>
            <a:ln>
              <a:noFill/>
            </a:ln>
            <a:effectLst/>
          </c:spPr>
          <c:invertIfNegative val="0"/>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2-349E-4893-A08E-C79970F3D39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349E-4893-A08E-C79970F3D393}"/>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349E-4893-A08E-C79970F3D393}"/>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349E-4893-A08E-C79970F3D393}"/>
              </c:ext>
            </c:extLst>
          </c:dPt>
          <c:dPt>
            <c:idx val="5"/>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6-349E-4893-A08E-C79970F3D393}"/>
              </c:ext>
            </c:extLst>
          </c:dPt>
          <c:dPt>
            <c:idx val="6"/>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7-349E-4893-A08E-C79970F3D3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'TRANSACTION BY AMOUNT'!$A$4:$A$11</c:f>
              <c:strCache>
                <c:ptCount val="7"/>
                <c:pt idx="0">
                  <c:v>0-1000</c:v>
                </c:pt>
                <c:pt idx="1">
                  <c:v>1000-2000</c:v>
                </c:pt>
                <c:pt idx="2">
                  <c:v>2000-3000</c:v>
                </c:pt>
                <c:pt idx="3">
                  <c:v>3000-4000</c:v>
                </c:pt>
                <c:pt idx="4">
                  <c:v>4000-5000</c:v>
                </c:pt>
                <c:pt idx="5">
                  <c:v>6000-7000</c:v>
                </c:pt>
                <c:pt idx="6">
                  <c:v>7000-8000</c:v>
                </c:pt>
              </c:strCache>
            </c:strRef>
          </c:cat>
          <c:val>
            <c:numRef>
              <c:f>'TRANSACTION BY AMOUNT'!$B$4:$B$11</c:f>
              <c:numCache>
                <c:formatCode>General</c:formatCode>
                <c:ptCount val="7"/>
                <c:pt idx="0">
                  <c:v>218</c:v>
                </c:pt>
                <c:pt idx="1">
                  <c:v>85</c:v>
                </c:pt>
                <c:pt idx="2">
                  <c:v>31</c:v>
                </c:pt>
                <c:pt idx="3">
                  <c:v>24</c:v>
                </c:pt>
                <c:pt idx="4">
                  <c:v>8</c:v>
                </c:pt>
                <c:pt idx="5">
                  <c:v>2</c:v>
                </c:pt>
                <c:pt idx="6">
                  <c:v>1</c:v>
                </c:pt>
              </c:numCache>
            </c:numRef>
          </c:val>
          <c:extLst>
            <c:ext xmlns:c16="http://schemas.microsoft.com/office/drawing/2014/chart" uri="{C3380CC4-5D6E-409C-BE32-E72D297353CC}">
              <c16:uniqueId val="{00000000-349E-4893-A08E-C79970F3D393}"/>
            </c:ext>
          </c:extLst>
        </c:ser>
        <c:dLbls>
          <c:dLblPos val="outEnd"/>
          <c:showLegendKey val="0"/>
          <c:showVal val="1"/>
          <c:showCatName val="0"/>
          <c:showSerName val="0"/>
          <c:showPercent val="0"/>
          <c:showBubbleSize val="0"/>
        </c:dLbls>
        <c:gapWidth val="30"/>
        <c:overlap val="-27"/>
        <c:axId val="1188534528"/>
        <c:axId val="1188526848"/>
      </c:barChart>
      <c:catAx>
        <c:axId val="1188534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8526848"/>
        <c:crosses val="autoZero"/>
        <c:auto val="1"/>
        <c:lblAlgn val="ctr"/>
        <c:lblOffset val="100"/>
        <c:noMultiLvlLbl val="0"/>
      </c:catAx>
      <c:valAx>
        <c:axId val="11885268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8853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27000">
        <a:schemeClr val="accent5">
          <a:lumMod val="50000"/>
          <a:alpha val="40000"/>
        </a:schemeClr>
      </a:glow>
      <a:outerShdw blurRad="50800" dist="50800" dir="5400000" algn="ctr" rotWithShape="0">
        <a:schemeClr val="accent5">
          <a:lumMod val="50000"/>
          <a:alpha val="98000"/>
        </a:scheme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[TARGET ANALYSED DATA.xlsx]SALES BY REP!PivotTable1</c:name>
    <c:fmtId val="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baseline="0">
                <a:solidFill>
                  <a:schemeClr val="accent6">
                    <a:lumMod val="50000"/>
                  </a:schemeClr>
                </a:solidFill>
                <a:latin typeface="Arial" panose="020B0604020202020204" pitchFamily="34" charset="0"/>
                <a:cs typeface="Arial" panose="020B0604020202020204" pitchFamily="34" charset="0"/>
              </a:rPr>
              <a:t>Salespersons Outlook </a:t>
            </a:r>
            <a:r>
              <a:rPr lang="en-US" sz="900" b="1" i="1" baseline="0">
                <a:solidFill>
                  <a:schemeClr val="accent6">
                    <a:lumMod val="50000"/>
                  </a:schemeClr>
                </a:solidFill>
                <a:latin typeface="Arial" panose="020B0604020202020204" pitchFamily="34" charset="0"/>
                <a:cs typeface="Arial" panose="020B0604020202020204" pitchFamily="34" charset="0"/>
              </a:rPr>
              <a:t>by Revenue</a:t>
            </a:r>
            <a:endParaRPr lang="en-US" sz="900" b="1" i="1">
              <a:solidFill>
                <a:schemeClr val="accent6">
                  <a:lumMod val="50000"/>
                </a:schemeClr>
              </a:solidFill>
              <a:latin typeface="Arial" panose="020B0604020202020204" pitchFamily="34" charset="0"/>
              <a:cs typeface="Arial" panose="020B0604020202020204" pitchFamily="34" charset="0"/>
            </a:endParaRPr>
          </a:p>
        </c:rich>
      </c:tx>
      <c:layout>
        <c:manualLayout>
          <c:xMode val="edge"/>
          <c:yMode val="edge"/>
          <c:x val="3.2880621379861127E-2"/>
          <c:y val="3.547398504599281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alpha val="99000"/>
            </a:schemeClr>
          </a:solidFill>
          <a:ln w="127000">
            <a:noFill/>
          </a:ln>
          <a:effectLst/>
        </c:spPr>
      </c:pivotFmt>
      <c:pivotFmt>
        <c:idx val="3"/>
        <c:spPr>
          <a:solidFill>
            <a:schemeClr val="accent5">
              <a:lumMod val="75000"/>
              <a:alpha val="99000"/>
            </a:schemeClr>
          </a:solidFill>
          <a:ln w="127000">
            <a:noFill/>
          </a:ln>
          <a:effectLst/>
        </c:spPr>
      </c:pivotFmt>
      <c:pivotFmt>
        <c:idx val="4"/>
        <c:spPr>
          <a:solidFill>
            <a:schemeClr val="accent5">
              <a:lumMod val="60000"/>
              <a:lumOff val="40000"/>
              <a:alpha val="99000"/>
            </a:schemeClr>
          </a:solidFill>
          <a:ln w="127000">
            <a:noFill/>
          </a:ln>
          <a:effectLst/>
        </c:spPr>
      </c:pivotFmt>
      <c:pivotFmt>
        <c:idx val="5"/>
        <c:spPr>
          <a:solidFill>
            <a:schemeClr val="accent5">
              <a:lumMod val="60000"/>
              <a:lumOff val="40000"/>
              <a:alpha val="99000"/>
            </a:schemeClr>
          </a:solidFill>
          <a:ln w="127000">
            <a:noFill/>
          </a:ln>
          <a:effectLst/>
        </c:spPr>
      </c:pivotFmt>
      <c:pivotFmt>
        <c:idx val="6"/>
        <c:spPr>
          <a:solidFill>
            <a:schemeClr val="accent5">
              <a:lumMod val="75000"/>
              <a:alpha val="99000"/>
            </a:schemeClr>
          </a:solidFill>
          <a:ln w="127000">
            <a:noFill/>
          </a:ln>
          <a:effectLst/>
        </c:spPr>
      </c:pivotFmt>
      <c:pivotFmt>
        <c:idx val="7"/>
        <c:spPr>
          <a:solidFill>
            <a:schemeClr val="accent5">
              <a:lumMod val="40000"/>
              <a:lumOff val="60000"/>
              <a:alpha val="99000"/>
            </a:schemeClr>
          </a:solidFill>
          <a:ln w="127000">
            <a:noFill/>
          </a:ln>
          <a:effectLst/>
        </c:spPr>
      </c:pivotFmt>
      <c:pivotFmt>
        <c:idx val="8"/>
        <c:spPr>
          <a:solidFill>
            <a:schemeClr val="accent5">
              <a:lumMod val="20000"/>
              <a:lumOff val="80000"/>
              <a:alpha val="99000"/>
            </a:schemeClr>
          </a:solidFill>
          <a:ln w="127000">
            <a:noFill/>
          </a:ln>
          <a:effectLst/>
        </c:spPr>
      </c:pivotFmt>
      <c:pivotFmt>
        <c:idx val="9"/>
        <c:spPr>
          <a:solidFill>
            <a:schemeClr val="accent5">
              <a:lumMod val="20000"/>
              <a:lumOff val="80000"/>
              <a:alpha val="99000"/>
            </a:schemeClr>
          </a:solidFill>
          <a:ln w="127000">
            <a:noFill/>
          </a:ln>
          <a:effectLst/>
        </c:spPr>
      </c:pivotFmt>
      <c:pivotFmt>
        <c:idx val="10"/>
        <c:spPr>
          <a:solidFill>
            <a:schemeClr val="accent5">
              <a:lumMod val="75000"/>
              <a:alpha val="99000"/>
            </a:schemeClr>
          </a:solidFill>
          <a:ln w="127000">
            <a:noFill/>
          </a:ln>
          <a:effectLst/>
        </c:spPr>
      </c:pivotFmt>
      <c:pivotFmt>
        <c:idx val="11"/>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alpha val="99000"/>
            </a:schemeClr>
          </a:solidFill>
          <a:ln w="127000">
            <a:noFill/>
          </a:ln>
          <a:effectLst/>
        </c:spPr>
      </c:pivotFmt>
      <c:pivotFmt>
        <c:idx val="13"/>
        <c:spPr>
          <a:solidFill>
            <a:schemeClr val="accent5">
              <a:lumMod val="20000"/>
              <a:lumOff val="80000"/>
              <a:alpha val="99000"/>
            </a:schemeClr>
          </a:solidFill>
          <a:ln w="127000">
            <a:noFill/>
          </a:ln>
          <a:effectLst/>
        </c:spPr>
      </c:pivotFmt>
      <c:pivotFmt>
        <c:idx val="14"/>
        <c:spPr>
          <a:solidFill>
            <a:schemeClr val="accent5">
              <a:lumMod val="40000"/>
              <a:lumOff val="60000"/>
              <a:alpha val="99000"/>
            </a:schemeClr>
          </a:solidFill>
          <a:ln w="127000">
            <a:noFill/>
          </a:ln>
          <a:effectLst/>
        </c:spPr>
      </c:pivotFmt>
      <c:pivotFmt>
        <c:idx val="15"/>
        <c:spPr>
          <a:solidFill>
            <a:schemeClr val="accent5">
              <a:lumMod val="40000"/>
              <a:lumOff val="60000"/>
              <a:alpha val="99000"/>
            </a:schemeClr>
          </a:solidFill>
          <a:ln w="127000">
            <a:noFill/>
          </a:ln>
          <a:effectLst/>
        </c:spPr>
      </c:pivotFmt>
      <c:pivotFmt>
        <c:idx val="16"/>
        <c:spPr>
          <a:solidFill>
            <a:schemeClr val="accent5">
              <a:lumMod val="60000"/>
              <a:lumOff val="40000"/>
              <a:alpha val="99000"/>
            </a:schemeClr>
          </a:solidFill>
          <a:ln w="127000">
            <a:noFill/>
          </a:ln>
          <a:effectLst/>
        </c:spPr>
      </c:pivotFmt>
      <c:pivotFmt>
        <c:idx val="17"/>
        <c:spPr>
          <a:solidFill>
            <a:schemeClr val="accent5">
              <a:lumMod val="60000"/>
              <a:lumOff val="40000"/>
              <a:alpha val="99000"/>
            </a:schemeClr>
          </a:solidFill>
          <a:ln w="127000">
            <a:noFill/>
          </a:ln>
          <a:effectLst/>
        </c:spPr>
      </c:pivotFmt>
      <c:pivotFmt>
        <c:idx val="18"/>
        <c:spPr>
          <a:solidFill>
            <a:schemeClr val="accent5">
              <a:lumMod val="75000"/>
              <a:alpha val="99000"/>
            </a:schemeClr>
          </a:solidFill>
          <a:ln w="127000">
            <a:noFill/>
          </a:ln>
          <a:effectLst/>
        </c:spPr>
      </c:pivotFmt>
      <c:pivotFmt>
        <c:idx val="19"/>
        <c:spPr>
          <a:solidFill>
            <a:schemeClr val="accent5">
              <a:lumMod val="75000"/>
              <a:alpha val="99000"/>
            </a:schemeClr>
          </a:solidFill>
          <a:ln w="127000">
            <a:noFill/>
          </a:ln>
          <a:effectLst/>
        </c:spPr>
      </c:pivotFmt>
      <c:pivotFmt>
        <c:idx val="20"/>
        <c:spPr>
          <a:solidFill>
            <a:schemeClr val="accent5">
              <a:lumMod val="75000"/>
              <a:alpha val="99000"/>
            </a:schemeClr>
          </a:solidFill>
          <a:ln w="127000">
            <a:noFill/>
          </a:ln>
          <a:effectLst/>
        </c:spPr>
      </c:pivotFmt>
      <c:pivotFmt>
        <c:idx val="21"/>
        <c:spPr>
          <a:solidFill>
            <a:schemeClr val="accent5">
              <a:lumMod val="75000"/>
              <a:alpha val="99000"/>
            </a:schemeClr>
          </a:solidFill>
          <a:ln w="127000">
            <a:noFill/>
          </a:ln>
          <a:effectLst/>
        </c:spPr>
      </c:pivotFmt>
      <c:pivotFmt>
        <c:idx val="22"/>
        <c:spPr>
          <a:solidFill>
            <a:schemeClr val="accent5">
              <a:lumMod val="75000"/>
              <a:alpha val="99000"/>
            </a:schemeClr>
          </a:solidFill>
          <a:ln w="127000">
            <a:noFill/>
          </a:ln>
          <a:effectLst/>
        </c:spPr>
      </c:pivotFmt>
      <c:pivotFmt>
        <c:idx val="23"/>
        <c:spPr>
          <a:solidFill>
            <a:schemeClr val="accent5">
              <a:lumMod val="60000"/>
              <a:lumOff val="40000"/>
              <a:alpha val="99000"/>
            </a:schemeClr>
          </a:solidFill>
          <a:ln w="127000">
            <a:noFill/>
          </a:ln>
          <a:effectLst/>
        </c:spPr>
      </c:pivotFmt>
      <c:pivotFmt>
        <c:idx val="24"/>
        <c:spPr>
          <a:solidFill>
            <a:schemeClr val="accent5">
              <a:lumMod val="60000"/>
              <a:lumOff val="40000"/>
              <a:alpha val="99000"/>
            </a:schemeClr>
          </a:solidFill>
          <a:ln w="127000">
            <a:noFill/>
          </a:ln>
          <a:effectLst/>
        </c:spPr>
      </c:pivotFmt>
      <c:pivotFmt>
        <c:idx val="25"/>
        <c:spPr>
          <a:solidFill>
            <a:schemeClr val="accent5">
              <a:lumMod val="40000"/>
              <a:lumOff val="60000"/>
              <a:alpha val="99000"/>
            </a:schemeClr>
          </a:solidFill>
          <a:ln w="127000">
            <a:noFill/>
          </a:ln>
          <a:effectLst/>
        </c:spPr>
      </c:pivotFmt>
      <c:pivotFmt>
        <c:idx val="26"/>
        <c:spPr>
          <a:solidFill>
            <a:schemeClr val="accent5">
              <a:lumMod val="40000"/>
              <a:lumOff val="60000"/>
              <a:alpha val="99000"/>
            </a:schemeClr>
          </a:solidFill>
          <a:ln w="127000">
            <a:noFill/>
          </a:ln>
          <a:effectLst/>
        </c:spPr>
      </c:pivotFmt>
      <c:pivotFmt>
        <c:idx val="27"/>
        <c:spPr>
          <a:solidFill>
            <a:schemeClr val="accent5">
              <a:lumMod val="20000"/>
              <a:lumOff val="80000"/>
              <a:alpha val="99000"/>
            </a:schemeClr>
          </a:solidFill>
          <a:ln w="127000">
            <a:noFill/>
          </a:ln>
          <a:effectLst/>
        </c:spPr>
      </c:pivotFmt>
      <c:pivotFmt>
        <c:idx val="28"/>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20000"/>
              <a:lumOff val="80000"/>
              <a:alpha val="99000"/>
            </a:schemeClr>
          </a:solidFill>
          <a:ln w="127000">
            <a:noFill/>
          </a:ln>
          <a:effectLst/>
        </c:spPr>
      </c:pivotFmt>
      <c:pivotFmt>
        <c:idx val="30"/>
        <c:spPr>
          <a:solidFill>
            <a:schemeClr val="accent5">
              <a:lumMod val="40000"/>
              <a:lumOff val="60000"/>
              <a:alpha val="99000"/>
            </a:schemeClr>
          </a:solidFill>
          <a:ln w="127000">
            <a:noFill/>
          </a:ln>
          <a:effectLst/>
        </c:spPr>
      </c:pivotFmt>
      <c:pivotFmt>
        <c:idx val="31"/>
        <c:spPr>
          <a:solidFill>
            <a:schemeClr val="accent5">
              <a:lumMod val="40000"/>
              <a:lumOff val="60000"/>
              <a:alpha val="99000"/>
            </a:schemeClr>
          </a:solidFill>
          <a:ln w="127000">
            <a:noFill/>
          </a:ln>
          <a:effectLst/>
        </c:spPr>
      </c:pivotFmt>
      <c:pivotFmt>
        <c:idx val="32"/>
        <c:spPr>
          <a:solidFill>
            <a:schemeClr val="accent5">
              <a:lumMod val="60000"/>
              <a:lumOff val="40000"/>
              <a:alpha val="99000"/>
            </a:schemeClr>
          </a:solidFill>
          <a:ln w="127000">
            <a:noFill/>
          </a:ln>
          <a:effectLst/>
        </c:spPr>
      </c:pivotFmt>
      <c:pivotFmt>
        <c:idx val="33"/>
        <c:spPr>
          <a:solidFill>
            <a:schemeClr val="accent5">
              <a:lumMod val="60000"/>
              <a:lumOff val="40000"/>
              <a:alpha val="99000"/>
            </a:schemeClr>
          </a:solidFill>
          <a:ln w="127000">
            <a:noFill/>
          </a:ln>
          <a:effectLst/>
        </c:spPr>
      </c:pivotFmt>
      <c:pivotFmt>
        <c:idx val="34"/>
        <c:spPr>
          <a:solidFill>
            <a:schemeClr val="accent5">
              <a:lumMod val="75000"/>
              <a:alpha val="99000"/>
            </a:schemeClr>
          </a:solidFill>
          <a:ln w="127000">
            <a:noFill/>
          </a:ln>
          <a:effectLst/>
        </c:spPr>
      </c:pivotFmt>
      <c:pivotFmt>
        <c:idx val="35"/>
        <c:spPr>
          <a:solidFill>
            <a:schemeClr val="accent5">
              <a:lumMod val="75000"/>
              <a:alpha val="99000"/>
            </a:schemeClr>
          </a:solidFill>
          <a:ln w="127000">
            <a:noFill/>
          </a:ln>
          <a:effectLst/>
        </c:spPr>
      </c:pivotFmt>
      <c:pivotFmt>
        <c:idx val="36"/>
        <c:spPr>
          <a:solidFill>
            <a:schemeClr val="accent6">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C9E2B8">
              <a:alpha val="98824"/>
            </a:srgbClr>
          </a:solidFill>
          <a:ln w="127000">
            <a:noFill/>
          </a:ln>
          <a:effectLst/>
        </c:spPr>
      </c:pivotFmt>
      <c:pivotFmt>
        <c:idx val="38"/>
        <c:spPr>
          <a:solidFill>
            <a:srgbClr val="9ECB7F">
              <a:alpha val="98824"/>
            </a:srgbClr>
          </a:solidFill>
          <a:ln w="127000">
            <a:noFill/>
          </a:ln>
          <a:effectLst/>
        </c:spPr>
      </c:pivotFmt>
      <c:pivotFmt>
        <c:idx val="39"/>
        <c:spPr>
          <a:solidFill>
            <a:srgbClr val="83BD5B">
              <a:alpha val="98824"/>
            </a:srgbClr>
          </a:solidFill>
          <a:ln w="127000">
            <a:noFill/>
          </a:ln>
          <a:effectLst/>
        </c:spPr>
      </c:pivotFmt>
      <c:pivotFmt>
        <c:idx val="40"/>
        <c:spPr>
          <a:solidFill>
            <a:srgbClr val="649C3E">
              <a:alpha val="98824"/>
            </a:srgbClr>
          </a:solidFill>
          <a:ln w="127000">
            <a:noFill/>
          </a:ln>
          <a:effectLst/>
        </c:spPr>
      </c:pivotFmt>
      <c:pivotFmt>
        <c:idx val="41"/>
        <c:spPr>
          <a:solidFill>
            <a:srgbClr val="62993D">
              <a:alpha val="98824"/>
            </a:srgbClr>
          </a:solidFill>
          <a:ln w="127000">
            <a:noFill/>
          </a:ln>
          <a:effectLst/>
        </c:spPr>
      </c:pivotFmt>
      <c:pivotFmt>
        <c:idx val="42"/>
        <c:spPr>
          <a:solidFill>
            <a:srgbClr val="538034">
              <a:alpha val="98824"/>
            </a:srgbClr>
          </a:solidFill>
          <a:ln w="127000">
            <a:noFill/>
          </a:ln>
          <a:effectLst/>
        </c:spPr>
      </c:pivotFmt>
      <c:pivotFmt>
        <c:idx val="43"/>
        <c:spPr>
          <a:solidFill>
            <a:srgbClr val="4B752F">
              <a:alpha val="98824"/>
            </a:srgbClr>
          </a:solidFill>
          <a:ln w="127000">
            <a:noFill/>
          </a:ln>
          <a:effectLst/>
        </c:spPr>
      </c:pivotFmt>
    </c:pivotFmts>
    <c:plotArea>
      <c:layout>
        <c:manualLayout>
          <c:layoutTarget val="inner"/>
          <c:xMode val="edge"/>
          <c:yMode val="edge"/>
          <c:x val="0.25531103218228984"/>
          <c:y val="0.15596402882051794"/>
          <c:w val="0.64209089945079978"/>
          <c:h val="0.77793683119527968"/>
        </c:manualLayout>
      </c:layout>
      <c:barChart>
        <c:barDir val="bar"/>
        <c:grouping val="clustered"/>
        <c:varyColors val="0"/>
        <c:ser>
          <c:idx val="0"/>
          <c:order val="0"/>
          <c:tx>
            <c:strRef>
              <c:f>'SALES BY REP'!$B$3</c:f>
              <c:strCache>
                <c:ptCount val="1"/>
                <c:pt idx="0">
                  <c:v>Total</c:v>
                </c:pt>
              </c:strCache>
            </c:strRef>
          </c:tx>
          <c:spPr>
            <a:solidFill>
              <a:schemeClr val="accent6">
                <a:lumMod val="50000"/>
                <a:alpha val="99000"/>
              </a:schemeClr>
            </a:solidFill>
            <a:ln w="127000">
              <a:noFill/>
            </a:ln>
            <a:effectLst/>
          </c:spPr>
          <c:invertIfNegative val="0"/>
          <c:dPt>
            <c:idx val="0"/>
            <c:invertIfNegative val="0"/>
            <c:bubble3D val="0"/>
            <c:spPr>
              <a:solidFill>
                <a:srgbClr val="C9E2B8">
                  <a:alpha val="98824"/>
                </a:srgbClr>
              </a:solidFill>
              <a:ln w="127000">
                <a:noFill/>
              </a:ln>
              <a:effectLst/>
            </c:spPr>
            <c:extLst>
              <c:ext xmlns:c16="http://schemas.microsoft.com/office/drawing/2014/chart" uri="{C3380CC4-5D6E-409C-BE32-E72D297353CC}">
                <c16:uniqueId val="{00000001-344B-4CAB-8817-79DF2B3B54C1}"/>
              </c:ext>
            </c:extLst>
          </c:dPt>
          <c:dPt>
            <c:idx val="1"/>
            <c:invertIfNegative val="0"/>
            <c:bubble3D val="0"/>
            <c:spPr>
              <a:solidFill>
                <a:srgbClr val="9ECB7F">
                  <a:alpha val="98824"/>
                </a:srgbClr>
              </a:solidFill>
              <a:ln w="127000">
                <a:noFill/>
              </a:ln>
              <a:effectLst/>
            </c:spPr>
            <c:extLst>
              <c:ext xmlns:c16="http://schemas.microsoft.com/office/drawing/2014/chart" uri="{C3380CC4-5D6E-409C-BE32-E72D297353CC}">
                <c16:uniqueId val="{00000003-344B-4CAB-8817-79DF2B3B54C1}"/>
              </c:ext>
            </c:extLst>
          </c:dPt>
          <c:dPt>
            <c:idx val="2"/>
            <c:invertIfNegative val="0"/>
            <c:bubble3D val="0"/>
            <c:spPr>
              <a:solidFill>
                <a:srgbClr val="83BD5B">
                  <a:alpha val="98824"/>
                </a:srgbClr>
              </a:solidFill>
              <a:ln w="127000">
                <a:noFill/>
              </a:ln>
              <a:effectLst/>
            </c:spPr>
            <c:extLst>
              <c:ext xmlns:c16="http://schemas.microsoft.com/office/drawing/2014/chart" uri="{C3380CC4-5D6E-409C-BE32-E72D297353CC}">
                <c16:uniqueId val="{00000005-344B-4CAB-8817-79DF2B3B54C1}"/>
              </c:ext>
            </c:extLst>
          </c:dPt>
          <c:dPt>
            <c:idx val="3"/>
            <c:invertIfNegative val="0"/>
            <c:bubble3D val="0"/>
            <c:spPr>
              <a:solidFill>
                <a:srgbClr val="649C3E">
                  <a:alpha val="98824"/>
                </a:srgbClr>
              </a:solidFill>
              <a:ln w="127000">
                <a:noFill/>
              </a:ln>
              <a:effectLst/>
            </c:spPr>
            <c:extLst>
              <c:ext xmlns:c16="http://schemas.microsoft.com/office/drawing/2014/chart" uri="{C3380CC4-5D6E-409C-BE32-E72D297353CC}">
                <c16:uniqueId val="{00000007-344B-4CAB-8817-79DF2B3B54C1}"/>
              </c:ext>
            </c:extLst>
          </c:dPt>
          <c:dPt>
            <c:idx val="4"/>
            <c:invertIfNegative val="0"/>
            <c:bubble3D val="0"/>
            <c:spPr>
              <a:solidFill>
                <a:srgbClr val="62993D">
                  <a:alpha val="98824"/>
                </a:srgbClr>
              </a:solidFill>
              <a:ln w="127000">
                <a:noFill/>
              </a:ln>
              <a:effectLst/>
            </c:spPr>
            <c:extLst>
              <c:ext xmlns:c16="http://schemas.microsoft.com/office/drawing/2014/chart" uri="{C3380CC4-5D6E-409C-BE32-E72D297353CC}">
                <c16:uniqueId val="{00000009-344B-4CAB-8817-79DF2B3B54C1}"/>
              </c:ext>
            </c:extLst>
          </c:dPt>
          <c:dPt>
            <c:idx val="5"/>
            <c:invertIfNegative val="0"/>
            <c:bubble3D val="0"/>
            <c:spPr>
              <a:solidFill>
                <a:srgbClr val="538034">
                  <a:alpha val="98824"/>
                </a:srgbClr>
              </a:solidFill>
              <a:ln w="127000">
                <a:noFill/>
              </a:ln>
              <a:effectLst/>
            </c:spPr>
            <c:extLst>
              <c:ext xmlns:c16="http://schemas.microsoft.com/office/drawing/2014/chart" uri="{C3380CC4-5D6E-409C-BE32-E72D297353CC}">
                <c16:uniqueId val="{0000000B-344B-4CAB-8817-79DF2B3B54C1}"/>
              </c:ext>
            </c:extLst>
          </c:dPt>
          <c:dPt>
            <c:idx val="6"/>
            <c:invertIfNegative val="0"/>
            <c:bubble3D val="0"/>
            <c:spPr>
              <a:solidFill>
                <a:srgbClr val="4B752F">
                  <a:alpha val="98824"/>
                </a:srgbClr>
              </a:solidFill>
              <a:ln w="127000">
                <a:noFill/>
              </a:ln>
              <a:effectLst/>
            </c:spPr>
            <c:extLst>
              <c:ext xmlns:c16="http://schemas.microsoft.com/office/drawing/2014/chart" uri="{C3380CC4-5D6E-409C-BE32-E72D297353CC}">
                <c16:uniqueId val="{0000000D-344B-4CAB-8817-79DF2B3B54C1}"/>
              </c:ext>
            </c:extLst>
          </c:dPt>
          <c:dPt>
            <c:idx val="7"/>
            <c:invertIfNegative val="0"/>
            <c:bubble3D val="0"/>
            <c:extLst>
              <c:ext xmlns:c16="http://schemas.microsoft.com/office/drawing/2014/chart" uri="{C3380CC4-5D6E-409C-BE32-E72D297353CC}">
                <c16:uniqueId val="{0000000E-344B-4CAB-8817-79DF2B3B54C1}"/>
              </c:ext>
            </c:extLst>
          </c:dPt>
          <c:dPt>
            <c:idx val="8"/>
            <c:invertIfNegative val="0"/>
            <c:bubble3D val="0"/>
            <c:extLst>
              <c:ext xmlns:c16="http://schemas.microsoft.com/office/drawing/2014/chart" uri="{C3380CC4-5D6E-409C-BE32-E72D297353CC}">
                <c16:uniqueId val="{0000000F-344B-4CAB-8817-79DF2B3B54C1}"/>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REP'!$A$4:$A$12</c:f>
              <c:strCache>
                <c:ptCount val="8"/>
                <c:pt idx="0">
                  <c:v>Jan Kotas</c:v>
                </c:pt>
                <c:pt idx="1">
                  <c:v>Robert Zare</c:v>
                </c:pt>
                <c:pt idx="2">
                  <c:v>Michael Neipper</c:v>
                </c:pt>
                <c:pt idx="3">
                  <c:v>Laura Giussani</c:v>
                </c:pt>
                <c:pt idx="4">
                  <c:v>Mariya Sergienko</c:v>
                </c:pt>
                <c:pt idx="5">
                  <c:v>Andrew Cencini</c:v>
                </c:pt>
                <c:pt idx="6">
                  <c:v>Anne Larsen</c:v>
                </c:pt>
                <c:pt idx="7">
                  <c:v>Nancy Freehafer</c:v>
                </c:pt>
              </c:strCache>
            </c:strRef>
          </c:cat>
          <c:val>
            <c:numRef>
              <c:f>'SALES BY REP'!$B$4:$B$12</c:f>
              <c:numCache>
                <c:formatCode>"$"#,##0.00</c:formatCode>
                <c:ptCount val="8"/>
                <c:pt idx="0">
                  <c:v>16350.5</c:v>
                </c:pt>
                <c:pt idx="1">
                  <c:v>32530.6</c:v>
                </c:pt>
                <c:pt idx="2">
                  <c:v>37428</c:v>
                </c:pt>
                <c:pt idx="3">
                  <c:v>41095.01</c:v>
                </c:pt>
                <c:pt idx="4">
                  <c:v>42370.880000000005</c:v>
                </c:pt>
                <c:pt idx="5">
                  <c:v>67180.5</c:v>
                </c:pt>
                <c:pt idx="6">
                  <c:v>93858.329999999987</c:v>
                </c:pt>
                <c:pt idx="7">
                  <c:v>104252.33999999997</c:v>
                </c:pt>
              </c:numCache>
            </c:numRef>
          </c:val>
          <c:extLst>
            <c:ext xmlns:c16="http://schemas.microsoft.com/office/drawing/2014/chart" uri="{C3380CC4-5D6E-409C-BE32-E72D297353CC}">
              <c16:uniqueId val="{00000010-344B-4CAB-8817-79DF2B3B54C1}"/>
            </c:ext>
          </c:extLst>
        </c:ser>
        <c:dLbls>
          <c:dLblPos val="outEnd"/>
          <c:showLegendKey val="0"/>
          <c:showVal val="1"/>
          <c:showCatName val="0"/>
          <c:showSerName val="0"/>
          <c:showPercent val="0"/>
          <c:showBubbleSize val="0"/>
        </c:dLbls>
        <c:gapWidth val="20"/>
        <c:axId val="562671407"/>
        <c:axId val="562661327"/>
      </c:barChart>
      <c:catAx>
        <c:axId val="5626714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62661327"/>
        <c:crosses val="autoZero"/>
        <c:auto val="1"/>
        <c:lblAlgn val="ctr"/>
        <c:lblOffset val="100"/>
        <c:noMultiLvlLbl val="0"/>
      </c:catAx>
      <c:valAx>
        <c:axId val="562661327"/>
        <c:scaling>
          <c:orientation val="minMax"/>
        </c:scaling>
        <c:delete val="1"/>
        <c:axPos val="b"/>
        <c:numFmt formatCode="&quot;$&quot;#,##0.00" sourceLinked="1"/>
        <c:majorTickMark val="out"/>
        <c:minorTickMark val="none"/>
        <c:tickLblPos val="nextTo"/>
        <c:crossAx val="56267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25400">
        <a:srgbClr val="538034">
          <a:alpha val="0"/>
        </a:srgbClr>
      </a:glow>
      <a:outerShdw blurRad="12700" dir="5400000" sx="96000" sy="96000" algn="ctr" rotWithShape="0">
        <a:srgbClr val="4B752F">
          <a:alpha val="70000"/>
        </a:srgb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[TARGET ANALYSED DATA.xlsx]SALES BY REGION!PivotTable1</c:name>
    <c:fmtId val="9"/>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chemeClr val="accent6">
                    <a:lumMod val="50000"/>
                  </a:schemeClr>
                </a:solidFill>
                <a:latin typeface="Arial" panose="020B0604020202020204" pitchFamily="34" charset="0"/>
                <a:cs typeface="Arial" panose="020B0604020202020204" pitchFamily="34" charset="0"/>
              </a:rPr>
              <a:t>Regional Sales Performance </a:t>
            </a:r>
            <a:r>
              <a:rPr lang="en-US" sz="900" b="1" i="1">
                <a:solidFill>
                  <a:schemeClr val="accent6">
                    <a:lumMod val="50000"/>
                  </a:schemeClr>
                </a:solidFill>
                <a:latin typeface="Arial" panose="020B0604020202020204" pitchFamily="34" charset="0"/>
                <a:cs typeface="Arial" panose="020B0604020202020204" pitchFamily="34" charset="0"/>
              </a:rPr>
              <a:t>by Revenue</a:t>
            </a:r>
          </a:p>
        </c:rich>
      </c:tx>
      <c:layout>
        <c:manualLayout>
          <c:xMode val="edge"/>
          <c:yMode val="edge"/>
          <c:x val="3.9406547865727323E-2"/>
          <c:y val="5.179853767697834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alpha val="99000"/>
            </a:schemeClr>
          </a:solidFill>
          <a:ln w="127000">
            <a:noFill/>
          </a:ln>
          <a:effectLst/>
        </c:spPr>
      </c:pivotFmt>
      <c:pivotFmt>
        <c:idx val="3"/>
        <c:spPr>
          <a:solidFill>
            <a:schemeClr val="accent5">
              <a:lumMod val="75000"/>
              <a:alpha val="99000"/>
            </a:schemeClr>
          </a:solidFill>
          <a:ln w="127000">
            <a:noFill/>
          </a:ln>
          <a:effectLst/>
        </c:spPr>
      </c:pivotFmt>
      <c:pivotFmt>
        <c:idx val="4"/>
        <c:spPr>
          <a:solidFill>
            <a:schemeClr val="accent5">
              <a:lumMod val="60000"/>
              <a:lumOff val="40000"/>
              <a:alpha val="99000"/>
            </a:schemeClr>
          </a:solidFill>
          <a:ln w="127000">
            <a:noFill/>
          </a:ln>
          <a:effectLst/>
        </c:spPr>
      </c:pivotFmt>
      <c:pivotFmt>
        <c:idx val="5"/>
        <c:spPr>
          <a:solidFill>
            <a:schemeClr val="accent5">
              <a:lumMod val="60000"/>
              <a:lumOff val="40000"/>
              <a:alpha val="99000"/>
            </a:schemeClr>
          </a:solidFill>
          <a:ln w="127000">
            <a:noFill/>
          </a:ln>
          <a:effectLst/>
        </c:spPr>
      </c:pivotFmt>
      <c:pivotFmt>
        <c:idx val="6"/>
        <c:spPr>
          <a:solidFill>
            <a:schemeClr val="accent5">
              <a:lumMod val="75000"/>
              <a:alpha val="99000"/>
            </a:schemeClr>
          </a:solidFill>
          <a:ln w="127000">
            <a:noFill/>
          </a:ln>
          <a:effectLst/>
        </c:spPr>
      </c:pivotFmt>
      <c:pivotFmt>
        <c:idx val="7"/>
        <c:spPr>
          <a:solidFill>
            <a:schemeClr val="accent5">
              <a:lumMod val="40000"/>
              <a:lumOff val="60000"/>
              <a:alpha val="99000"/>
            </a:schemeClr>
          </a:solidFill>
          <a:ln w="127000">
            <a:noFill/>
          </a:ln>
          <a:effectLst/>
        </c:spPr>
      </c:pivotFmt>
      <c:pivotFmt>
        <c:idx val="8"/>
        <c:spPr>
          <a:solidFill>
            <a:schemeClr val="accent5">
              <a:lumMod val="20000"/>
              <a:lumOff val="80000"/>
              <a:alpha val="99000"/>
            </a:schemeClr>
          </a:solidFill>
          <a:ln w="127000">
            <a:noFill/>
          </a:ln>
          <a:effectLst/>
        </c:spPr>
      </c:pivotFmt>
      <c:pivotFmt>
        <c:idx val="9"/>
        <c:spPr>
          <a:solidFill>
            <a:schemeClr val="accent5">
              <a:lumMod val="20000"/>
              <a:lumOff val="80000"/>
              <a:alpha val="99000"/>
            </a:schemeClr>
          </a:solidFill>
          <a:ln w="127000">
            <a:noFill/>
          </a:ln>
          <a:effectLst/>
        </c:spPr>
      </c:pivotFmt>
      <c:pivotFmt>
        <c:idx val="10"/>
        <c:spPr>
          <a:solidFill>
            <a:schemeClr val="accent5">
              <a:lumMod val="75000"/>
              <a:alpha val="99000"/>
            </a:schemeClr>
          </a:solidFill>
          <a:ln w="127000">
            <a:noFill/>
          </a:ln>
          <a:effectLst/>
        </c:spPr>
      </c:pivotFmt>
      <c:pivotFmt>
        <c:idx val="11"/>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alpha val="99000"/>
            </a:schemeClr>
          </a:solidFill>
          <a:ln w="127000">
            <a:noFill/>
          </a:ln>
          <a:effectLst/>
        </c:spPr>
      </c:pivotFmt>
      <c:pivotFmt>
        <c:idx val="13"/>
        <c:spPr>
          <a:solidFill>
            <a:schemeClr val="accent5">
              <a:lumMod val="20000"/>
              <a:lumOff val="80000"/>
              <a:alpha val="99000"/>
            </a:schemeClr>
          </a:solidFill>
          <a:ln w="127000">
            <a:noFill/>
          </a:ln>
          <a:effectLst/>
        </c:spPr>
      </c:pivotFmt>
      <c:pivotFmt>
        <c:idx val="14"/>
        <c:spPr>
          <a:solidFill>
            <a:schemeClr val="accent5">
              <a:lumMod val="40000"/>
              <a:lumOff val="60000"/>
              <a:alpha val="99000"/>
            </a:schemeClr>
          </a:solidFill>
          <a:ln w="127000">
            <a:noFill/>
          </a:ln>
          <a:effectLst/>
        </c:spPr>
      </c:pivotFmt>
      <c:pivotFmt>
        <c:idx val="15"/>
        <c:spPr>
          <a:solidFill>
            <a:schemeClr val="accent5">
              <a:lumMod val="40000"/>
              <a:lumOff val="60000"/>
              <a:alpha val="99000"/>
            </a:schemeClr>
          </a:solidFill>
          <a:ln w="127000">
            <a:noFill/>
          </a:ln>
          <a:effectLst/>
        </c:spPr>
      </c:pivotFmt>
      <c:pivotFmt>
        <c:idx val="16"/>
        <c:spPr>
          <a:solidFill>
            <a:schemeClr val="accent5">
              <a:lumMod val="60000"/>
              <a:lumOff val="40000"/>
              <a:alpha val="99000"/>
            </a:schemeClr>
          </a:solidFill>
          <a:ln w="127000">
            <a:noFill/>
          </a:ln>
          <a:effectLst/>
        </c:spPr>
      </c:pivotFmt>
      <c:pivotFmt>
        <c:idx val="17"/>
        <c:spPr>
          <a:solidFill>
            <a:schemeClr val="accent5">
              <a:lumMod val="60000"/>
              <a:lumOff val="40000"/>
              <a:alpha val="99000"/>
            </a:schemeClr>
          </a:solidFill>
          <a:ln w="127000">
            <a:noFill/>
          </a:ln>
          <a:effectLst/>
        </c:spPr>
      </c:pivotFmt>
      <c:pivotFmt>
        <c:idx val="18"/>
        <c:spPr>
          <a:solidFill>
            <a:schemeClr val="accent5">
              <a:lumMod val="75000"/>
              <a:alpha val="99000"/>
            </a:schemeClr>
          </a:solidFill>
          <a:ln w="127000">
            <a:noFill/>
          </a:ln>
          <a:effectLst/>
        </c:spPr>
      </c:pivotFmt>
      <c:pivotFmt>
        <c:idx val="19"/>
        <c:spPr>
          <a:solidFill>
            <a:schemeClr val="accent5">
              <a:lumMod val="75000"/>
              <a:alpha val="99000"/>
            </a:schemeClr>
          </a:solidFill>
          <a:ln w="127000">
            <a:noFill/>
          </a:ln>
          <a:effectLst/>
        </c:spPr>
      </c:pivotFmt>
      <c:pivotFmt>
        <c:idx val="20"/>
        <c:spPr>
          <a:solidFill>
            <a:schemeClr val="accent5">
              <a:lumMod val="75000"/>
              <a:alpha val="99000"/>
            </a:schemeClr>
          </a:solidFill>
          <a:ln w="127000">
            <a:noFill/>
          </a:ln>
          <a:effectLst/>
        </c:spPr>
      </c:pivotFmt>
      <c:pivotFmt>
        <c:idx val="21"/>
        <c:spPr>
          <a:solidFill>
            <a:schemeClr val="accent5">
              <a:lumMod val="75000"/>
              <a:alpha val="99000"/>
            </a:schemeClr>
          </a:solidFill>
          <a:ln w="127000">
            <a:noFill/>
          </a:ln>
          <a:effectLst/>
        </c:spPr>
      </c:pivotFmt>
      <c:pivotFmt>
        <c:idx val="22"/>
        <c:spPr>
          <a:solidFill>
            <a:schemeClr val="accent5">
              <a:lumMod val="75000"/>
              <a:alpha val="99000"/>
            </a:schemeClr>
          </a:solidFill>
          <a:ln w="127000">
            <a:noFill/>
          </a:ln>
          <a:effectLst/>
        </c:spPr>
      </c:pivotFmt>
      <c:pivotFmt>
        <c:idx val="23"/>
        <c:spPr>
          <a:solidFill>
            <a:schemeClr val="accent5">
              <a:lumMod val="60000"/>
              <a:lumOff val="40000"/>
              <a:alpha val="99000"/>
            </a:schemeClr>
          </a:solidFill>
          <a:ln w="127000">
            <a:noFill/>
          </a:ln>
          <a:effectLst/>
        </c:spPr>
      </c:pivotFmt>
      <c:pivotFmt>
        <c:idx val="24"/>
        <c:spPr>
          <a:solidFill>
            <a:schemeClr val="accent5">
              <a:lumMod val="60000"/>
              <a:lumOff val="40000"/>
              <a:alpha val="99000"/>
            </a:schemeClr>
          </a:solidFill>
          <a:ln w="127000">
            <a:noFill/>
          </a:ln>
          <a:effectLst/>
        </c:spPr>
      </c:pivotFmt>
      <c:pivotFmt>
        <c:idx val="25"/>
        <c:spPr>
          <a:solidFill>
            <a:schemeClr val="accent5">
              <a:lumMod val="40000"/>
              <a:lumOff val="60000"/>
              <a:alpha val="99000"/>
            </a:schemeClr>
          </a:solidFill>
          <a:ln w="127000">
            <a:noFill/>
          </a:ln>
          <a:effectLst/>
        </c:spPr>
      </c:pivotFmt>
      <c:pivotFmt>
        <c:idx val="26"/>
        <c:spPr>
          <a:solidFill>
            <a:schemeClr val="accent5">
              <a:lumMod val="40000"/>
              <a:lumOff val="60000"/>
              <a:alpha val="99000"/>
            </a:schemeClr>
          </a:solidFill>
          <a:ln w="127000">
            <a:noFill/>
          </a:ln>
          <a:effectLst/>
        </c:spPr>
      </c:pivotFmt>
      <c:pivotFmt>
        <c:idx val="27"/>
        <c:spPr>
          <a:solidFill>
            <a:schemeClr val="accent5">
              <a:lumMod val="20000"/>
              <a:lumOff val="80000"/>
              <a:alpha val="99000"/>
            </a:schemeClr>
          </a:solidFill>
          <a:ln w="127000">
            <a:noFill/>
          </a:ln>
          <a:effectLst/>
        </c:spPr>
      </c:pivotFmt>
      <c:pivotFmt>
        <c:idx val="28"/>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20000"/>
              <a:lumOff val="80000"/>
              <a:alpha val="99000"/>
            </a:schemeClr>
          </a:solidFill>
          <a:ln w="127000">
            <a:noFill/>
          </a:ln>
          <a:effectLst/>
        </c:spPr>
      </c:pivotFmt>
      <c:pivotFmt>
        <c:idx val="30"/>
        <c:spPr>
          <a:solidFill>
            <a:schemeClr val="accent5">
              <a:lumMod val="40000"/>
              <a:lumOff val="60000"/>
              <a:alpha val="99000"/>
            </a:schemeClr>
          </a:solidFill>
          <a:ln w="127000">
            <a:noFill/>
          </a:ln>
          <a:effectLst/>
        </c:spPr>
      </c:pivotFmt>
      <c:pivotFmt>
        <c:idx val="31"/>
        <c:spPr>
          <a:solidFill>
            <a:schemeClr val="accent5">
              <a:lumMod val="40000"/>
              <a:lumOff val="60000"/>
              <a:alpha val="99000"/>
            </a:schemeClr>
          </a:solidFill>
          <a:ln w="127000">
            <a:noFill/>
          </a:ln>
          <a:effectLst/>
        </c:spPr>
      </c:pivotFmt>
      <c:pivotFmt>
        <c:idx val="32"/>
        <c:spPr>
          <a:solidFill>
            <a:schemeClr val="accent5">
              <a:lumMod val="60000"/>
              <a:lumOff val="40000"/>
              <a:alpha val="99000"/>
            </a:schemeClr>
          </a:solidFill>
          <a:ln w="127000">
            <a:noFill/>
          </a:ln>
          <a:effectLst/>
        </c:spPr>
      </c:pivotFmt>
      <c:pivotFmt>
        <c:idx val="33"/>
        <c:spPr>
          <a:solidFill>
            <a:schemeClr val="accent5">
              <a:lumMod val="60000"/>
              <a:lumOff val="40000"/>
              <a:alpha val="99000"/>
            </a:schemeClr>
          </a:solidFill>
          <a:ln w="127000">
            <a:noFill/>
          </a:ln>
          <a:effectLst/>
        </c:spPr>
      </c:pivotFmt>
      <c:pivotFmt>
        <c:idx val="34"/>
        <c:spPr>
          <a:solidFill>
            <a:schemeClr val="accent5">
              <a:lumMod val="75000"/>
              <a:alpha val="99000"/>
            </a:schemeClr>
          </a:solidFill>
          <a:ln w="127000">
            <a:noFill/>
          </a:ln>
          <a:effectLst/>
        </c:spPr>
      </c:pivotFmt>
      <c:pivotFmt>
        <c:idx val="35"/>
        <c:spPr>
          <a:solidFill>
            <a:schemeClr val="accent5">
              <a:lumMod val="75000"/>
              <a:alpha val="99000"/>
            </a:schemeClr>
          </a:solidFill>
          <a:ln w="127000">
            <a:noFill/>
          </a:ln>
          <a:effectLst/>
        </c:spPr>
      </c:pivotFmt>
      <c:pivotFmt>
        <c:idx val="36"/>
        <c:spPr>
          <a:solidFill>
            <a:schemeClr val="accent5">
              <a:lumMod val="75000"/>
              <a:alpha val="99000"/>
            </a:schemeClr>
          </a:solidFill>
          <a:ln w="127000">
            <a:noFill/>
          </a:ln>
          <a:effectLst/>
        </c:spPr>
        <c:dLbl>
          <c:idx val="0"/>
          <c:layout>
            <c:manualLayout>
              <c:x val="6.3829840701826693E-2"/>
              <c:y val="-2.44399185336048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60000"/>
              <a:lumOff val="40000"/>
              <a:alpha val="99000"/>
            </a:schemeClr>
          </a:solidFill>
          <a:ln w="127000">
            <a:noFill/>
          </a:ln>
          <a:effectLst/>
        </c:spPr>
      </c:pivotFmt>
      <c:pivotFmt>
        <c:idx val="38"/>
        <c:spPr>
          <a:solidFill>
            <a:schemeClr val="accent5">
              <a:lumMod val="40000"/>
              <a:lumOff val="60000"/>
              <a:alpha val="99000"/>
            </a:schemeClr>
          </a:solidFill>
          <a:ln w="127000">
            <a:noFill/>
          </a:ln>
          <a:effectLst/>
        </c:spPr>
      </c:pivotFmt>
      <c:pivotFmt>
        <c:idx val="39"/>
        <c:spPr>
          <a:solidFill>
            <a:schemeClr val="accent5">
              <a:lumMod val="50000"/>
              <a:alpha val="99000"/>
            </a:schemeClr>
          </a:solidFill>
          <a:ln w="127000">
            <a:noFill/>
          </a:ln>
          <a:effectLst/>
        </c:spPr>
      </c:pivotFmt>
      <c:pivotFmt>
        <c:idx val="40"/>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50000"/>
              <a:alpha val="99000"/>
            </a:schemeClr>
          </a:solidFill>
          <a:ln w="127000">
            <a:noFill/>
          </a:ln>
          <a:effectLst/>
        </c:spPr>
      </c:pivotFmt>
      <c:pivotFmt>
        <c:idx val="42"/>
        <c:spPr>
          <a:solidFill>
            <a:schemeClr val="accent5">
              <a:lumMod val="75000"/>
              <a:alpha val="99000"/>
            </a:schemeClr>
          </a:solidFill>
          <a:ln w="127000">
            <a:noFill/>
          </a:ln>
          <a:effectLst/>
        </c:spPr>
        <c:dLbl>
          <c:idx val="0"/>
          <c:layout>
            <c:manualLayout>
              <c:x val="6.3829840701826693E-2"/>
              <c:y val="-2.44399185336048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5">
              <a:lumMod val="60000"/>
              <a:lumOff val="40000"/>
              <a:alpha val="99000"/>
            </a:schemeClr>
          </a:solidFill>
          <a:ln w="127000">
            <a:noFill/>
          </a:ln>
          <a:effectLst/>
        </c:spPr>
      </c:pivotFmt>
      <c:pivotFmt>
        <c:idx val="44"/>
        <c:spPr>
          <a:solidFill>
            <a:schemeClr val="accent5">
              <a:lumMod val="40000"/>
              <a:lumOff val="60000"/>
              <a:alpha val="99000"/>
            </a:schemeClr>
          </a:solidFill>
          <a:ln w="127000">
            <a:noFill/>
          </a:ln>
          <a:effectLst/>
        </c:spPr>
      </c:pivotFmt>
      <c:pivotFmt>
        <c:idx val="45"/>
        <c:spPr>
          <a:solidFill>
            <a:srgbClr val="4B752F">
              <a:alpha val="99000"/>
            </a:srgb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4B752F">
              <a:alpha val="99000"/>
            </a:srgbClr>
          </a:solidFill>
          <a:ln w="127000">
            <a:noFill/>
          </a:ln>
          <a:effectLst/>
        </c:spPr>
      </c:pivotFmt>
      <c:pivotFmt>
        <c:idx val="47"/>
        <c:spPr>
          <a:solidFill>
            <a:srgbClr val="62993D">
              <a:alpha val="99000"/>
            </a:srgbClr>
          </a:solidFill>
          <a:ln w="127000">
            <a:noFill/>
          </a:ln>
          <a:effectLst/>
        </c:spPr>
        <c:dLbl>
          <c:idx val="0"/>
          <c:layout>
            <c:manualLayout>
              <c:x val="6.3829840701826693E-2"/>
              <c:y val="-2.4439918533604887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83BD5B">
              <a:alpha val="99000"/>
            </a:srgbClr>
          </a:solidFill>
          <a:ln w="127000">
            <a:noFill/>
          </a:ln>
          <a:effectLst/>
        </c:spPr>
      </c:pivotFmt>
      <c:pivotFmt>
        <c:idx val="49"/>
        <c:spPr>
          <a:solidFill>
            <a:srgbClr val="C9E2B8">
              <a:alpha val="99000"/>
            </a:srgbClr>
          </a:solidFill>
          <a:ln w="127000">
            <a:noFill/>
          </a:ln>
          <a:effectLst/>
        </c:spPr>
      </c:pivotFmt>
    </c:pivotFmts>
    <c:plotArea>
      <c:layout>
        <c:manualLayout>
          <c:layoutTarget val="inner"/>
          <c:xMode val="edge"/>
          <c:yMode val="edge"/>
          <c:x val="0.28674458598139219"/>
          <c:y val="0.20403258655804479"/>
          <c:w val="0.39832316830555226"/>
          <c:h val="0.76257324759048706"/>
        </c:manualLayout>
      </c:layout>
      <c:pieChart>
        <c:varyColors val="1"/>
        <c:ser>
          <c:idx val="0"/>
          <c:order val="0"/>
          <c:tx>
            <c:strRef>
              <c:f>'SALES BY REGION'!$B$3</c:f>
              <c:strCache>
                <c:ptCount val="1"/>
                <c:pt idx="0">
                  <c:v>Total</c:v>
                </c:pt>
              </c:strCache>
            </c:strRef>
          </c:tx>
          <c:spPr>
            <a:solidFill>
              <a:srgbClr val="4B752F">
                <a:alpha val="99000"/>
              </a:srgbClr>
            </a:solidFill>
            <a:ln w="127000"/>
          </c:spPr>
          <c:dPt>
            <c:idx val="0"/>
            <c:bubble3D val="0"/>
            <c:spPr>
              <a:solidFill>
                <a:srgbClr val="4B752F">
                  <a:alpha val="99000"/>
                </a:srgbClr>
              </a:solidFill>
              <a:ln w="127000">
                <a:noFill/>
              </a:ln>
              <a:effectLst/>
            </c:spPr>
            <c:extLst>
              <c:ext xmlns:c16="http://schemas.microsoft.com/office/drawing/2014/chart" uri="{C3380CC4-5D6E-409C-BE32-E72D297353CC}">
                <c16:uniqueId val="{00000001-14FE-4D65-BD03-3237291CA8B0}"/>
              </c:ext>
            </c:extLst>
          </c:dPt>
          <c:dPt>
            <c:idx val="1"/>
            <c:bubble3D val="0"/>
            <c:spPr>
              <a:solidFill>
                <a:srgbClr val="62993D">
                  <a:alpha val="99000"/>
                </a:srgbClr>
              </a:solidFill>
              <a:ln w="127000">
                <a:noFill/>
              </a:ln>
              <a:effectLst/>
            </c:spPr>
            <c:extLst>
              <c:ext xmlns:c16="http://schemas.microsoft.com/office/drawing/2014/chart" uri="{C3380CC4-5D6E-409C-BE32-E72D297353CC}">
                <c16:uniqueId val="{00000003-14FE-4D65-BD03-3237291CA8B0}"/>
              </c:ext>
            </c:extLst>
          </c:dPt>
          <c:dPt>
            <c:idx val="2"/>
            <c:bubble3D val="0"/>
            <c:spPr>
              <a:solidFill>
                <a:srgbClr val="83BD5B">
                  <a:alpha val="99000"/>
                </a:srgbClr>
              </a:solidFill>
              <a:ln w="127000">
                <a:noFill/>
              </a:ln>
              <a:effectLst/>
            </c:spPr>
            <c:extLst>
              <c:ext xmlns:c16="http://schemas.microsoft.com/office/drawing/2014/chart" uri="{C3380CC4-5D6E-409C-BE32-E72D297353CC}">
                <c16:uniqueId val="{00000005-14FE-4D65-BD03-3237291CA8B0}"/>
              </c:ext>
            </c:extLst>
          </c:dPt>
          <c:dPt>
            <c:idx val="3"/>
            <c:bubble3D val="0"/>
            <c:spPr>
              <a:solidFill>
                <a:srgbClr val="C9E2B8">
                  <a:alpha val="99000"/>
                </a:srgbClr>
              </a:solidFill>
              <a:ln w="127000">
                <a:noFill/>
              </a:ln>
              <a:effectLst/>
            </c:spPr>
            <c:extLst>
              <c:ext xmlns:c16="http://schemas.microsoft.com/office/drawing/2014/chart" uri="{C3380CC4-5D6E-409C-BE32-E72D297353CC}">
                <c16:uniqueId val="{00000007-14FE-4D65-BD03-3237291CA8B0}"/>
              </c:ext>
            </c:extLst>
          </c:dPt>
          <c:dPt>
            <c:idx val="4"/>
            <c:bubble3D val="0"/>
            <c:spPr>
              <a:solidFill>
                <a:srgbClr val="4B752F">
                  <a:alpha val="99000"/>
                </a:srgbClr>
              </a:solidFill>
              <a:ln w="127000">
                <a:noFill/>
              </a:ln>
              <a:effectLst/>
            </c:spPr>
            <c:extLst>
              <c:ext xmlns:c16="http://schemas.microsoft.com/office/drawing/2014/chart" uri="{C3380CC4-5D6E-409C-BE32-E72D297353CC}">
                <c16:uniqueId val="{00000009-14FE-4D65-BD03-3237291CA8B0}"/>
              </c:ext>
            </c:extLst>
          </c:dPt>
          <c:dPt>
            <c:idx val="5"/>
            <c:bubble3D val="0"/>
            <c:spPr>
              <a:solidFill>
                <a:srgbClr val="4B752F">
                  <a:alpha val="99000"/>
                </a:srgbClr>
              </a:solidFill>
              <a:ln w="127000">
                <a:noFill/>
              </a:ln>
              <a:effectLst/>
            </c:spPr>
            <c:extLst>
              <c:ext xmlns:c16="http://schemas.microsoft.com/office/drawing/2014/chart" uri="{C3380CC4-5D6E-409C-BE32-E72D297353CC}">
                <c16:uniqueId val="{0000000B-14FE-4D65-BD03-3237291CA8B0}"/>
              </c:ext>
            </c:extLst>
          </c:dPt>
          <c:dPt>
            <c:idx val="6"/>
            <c:bubble3D val="0"/>
            <c:spPr>
              <a:solidFill>
                <a:srgbClr val="4B752F">
                  <a:alpha val="99000"/>
                </a:srgbClr>
              </a:solidFill>
              <a:ln w="127000">
                <a:noFill/>
              </a:ln>
              <a:effectLst/>
            </c:spPr>
            <c:extLst>
              <c:ext xmlns:c16="http://schemas.microsoft.com/office/drawing/2014/chart" uri="{C3380CC4-5D6E-409C-BE32-E72D297353CC}">
                <c16:uniqueId val="{0000000D-14FE-4D65-BD03-3237291CA8B0}"/>
              </c:ext>
            </c:extLst>
          </c:dPt>
          <c:dPt>
            <c:idx val="7"/>
            <c:bubble3D val="0"/>
            <c:spPr>
              <a:solidFill>
                <a:srgbClr val="4B752F">
                  <a:alpha val="99000"/>
                </a:srgbClr>
              </a:solidFill>
              <a:ln w="127000">
                <a:noFill/>
              </a:ln>
              <a:effectLst/>
            </c:spPr>
            <c:extLst>
              <c:ext xmlns:c16="http://schemas.microsoft.com/office/drawing/2014/chart" uri="{C3380CC4-5D6E-409C-BE32-E72D297353CC}">
                <c16:uniqueId val="{0000000F-14FE-4D65-BD03-3237291CA8B0}"/>
              </c:ext>
            </c:extLst>
          </c:dPt>
          <c:dPt>
            <c:idx val="8"/>
            <c:bubble3D val="0"/>
            <c:spPr>
              <a:solidFill>
                <a:srgbClr val="4B752F">
                  <a:alpha val="99000"/>
                </a:srgbClr>
              </a:solidFill>
              <a:ln w="127000">
                <a:noFill/>
              </a:ln>
              <a:effectLst/>
            </c:spPr>
            <c:extLst>
              <c:ext xmlns:c16="http://schemas.microsoft.com/office/drawing/2014/chart" uri="{C3380CC4-5D6E-409C-BE32-E72D297353CC}">
                <c16:uniqueId val="{00000011-14FE-4D65-BD03-3237291CA8B0}"/>
              </c:ext>
            </c:extLst>
          </c:dPt>
          <c:dLbls>
            <c:dLbl>
              <c:idx val="1"/>
              <c:layout>
                <c:manualLayout>
                  <c:x val="6.3829840701826693E-2"/>
                  <c:y val="-2.4439918533604887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4FE-4D65-BD03-3237291CA8B0}"/>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REGION'!$A$4:$A$8</c:f>
              <c:strCache>
                <c:ptCount val="4"/>
                <c:pt idx="0">
                  <c:v>North</c:v>
                </c:pt>
                <c:pt idx="1">
                  <c:v>East</c:v>
                </c:pt>
                <c:pt idx="2">
                  <c:v>South</c:v>
                </c:pt>
                <c:pt idx="3">
                  <c:v>West</c:v>
                </c:pt>
              </c:strCache>
            </c:strRef>
          </c:cat>
          <c:val>
            <c:numRef>
              <c:f>'SALES BY REGION'!$B$4:$B$8</c:f>
              <c:numCache>
                <c:formatCode>0.00%</c:formatCode>
                <c:ptCount val="4"/>
                <c:pt idx="0">
                  <c:v>0.32565240192434181</c:v>
                </c:pt>
                <c:pt idx="1">
                  <c:v>0.24887136705828836</c:v>
                </c:pt>
                <c:pt idx="2">
                  <c:v>0.21573346453789927</c:v>
                </c:pt>
                <c:pt idx="3">
                  <c:v>0.20974276647947063</c:v>
                </c:pt>
              </c:numCache>
            </c:numRef>
          </c:val>
          <c:extLst>
            <c:ext xmlns:c16="http://schemas.microsoft.com/office/drawing/2014/chart" uri="{C3380CC4-5D6E-409C-BE32-E72D297353CC}">
              <c16:uniqueId val="{00000012-14FE-4D65-BD03-3237291CA8B0}"/>
            </c:ext>
          </c:extLst>
        </c:ser>
        <c:dLbls>
          <c:dLblPos val="ctr"/>
          <c:showLegendKey val="0"/>
          <c:showVal val="1"/>
          <c:showCatName val="0"/>
          <c:showSerName val="0"/>
          <c:showPercent val="0"/>
          <c:showBubbleSize val="0"/>
          <c:showLeaderLines val="1"/>
        </c:dLbls>
        <c:firstSliceAng val="0"/>
      </c:pieChart>
      <c:spPr>
        <a:noFill/>
        <a:ln w="15875">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12700">
        <a:srgbClr val="4B752F">
          <a:alpha val="0"/>
        </a:srgbClr>
      </a:glow>
      <a:outerShdw blurRad="12700" dir="5400000" sx="96000" sy="96000" algn="ctr" rotWithShape="0">
        <a:srgbClr val="538034">
          <a:alpha val="70000"/>
        </a:srgb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[TARGET ANALYSED DATA.xlsx]SALES BY PRODUCT CATEGORY!PivotTable1</c:name>
    <c:fmtId val="20"/>
  </c:pivotSource>
  <c:chart>
    <c:title>
      <c:tx>
        <c:rich>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r>
              <a:rPr lang="en-US" sz="1200" b="1">
                <a:solidFill>
                  <a:schemeClr val="accent6">
                    <a:lumMod val="50000"/>
                  </a:schemeClr>
                </a:solidFill>
                <a:latin typeface="Arial" panose="020B0604020202020204" pitchFamily="34" charset="0"/>
                <a:cs typeface="Arial" panose="020B0604020202020204" pitchFamily="34" charset="0"/>
              </a:rPr>
              <a:t>Product Category </a:t>
            </a:r>
            <a:r>
              <a:rPr lang="en-US" sz="900" b="1" i="1">
                <a:solidFill>
                  <a:schemeClr val="accent6">
                    <a:lumMod val="50000"/>
                  </a:schemeClr>
                </a:solidFill>
                <a:latin typeface="Arial" panose="020B0604020202020204" pitchFamily="34" charset="0"/>
                <a:cs typeface="Arial" panose="020B0604020202020204" pitchFamily="34" charset="0"/>
              </a:rPr>
              <a:t>by Revenue Generated</a:t>
            </a:r>
          </a:p>
        </c:rich>
      </c:tx>
      <c:layout>
        <c:manualLayout>
          <c:xMode val="edge"/>
          <c:yMode val="edge"/>
          <c:x val="1.5355756836276491E-2"/>
          <c:y val="2.480817722166332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alpha val="99000"/>
            </a:schemeClr>
          </a:solidFill>
          <a:ln w="127000">
            <a:noFill/>
          </a:ln>
          <a:effectLst/>
        </c:spPr>
      </c:pivotFmt>
      <c:pivotFmt>
        <c:idx val="3"/>
        <c:spPr>
          <a:solidFill>
            <a:schemeClr val="accent5">
              <a:lumMod val="75000"/>
              <a:alpha val="99000"/>
            </a:schemeClr>
          </a:solidFill>
          <a:ln w="127000">
            <a:noFill/>
          </a:ln>
          <a:effectLst/>
        </c:spPr>
      </c:pivotFmt>
      <c:pivotFmt>
        <c:idx val="4"/>
        <c:spPr>
          <a:solidFill>
            <a:schemeClr val="accent5">
              <a:lumMod val="60000"/>
              <a:lumOff val="40000"/>
              <a:alpha val="99000"/>
            </a:schemeClr>
          </a:solidFill>
          <a:ln w="127000">
            <a:noFill/>
          </a:ln>
          <a:effectLst/>
        </c:spPr>
      </c:pivotFmt>
      <c:pivotFmt>
        <c:idx val="5"/>
        <c:spPr>
          <a:solidFill>
            <a:schemeClr val="accent5">
              <a:lumMod val="60000"/>
              <a:lumOff val="40000"/>
              <a:alpha val="99000"/>
            </a:schemeClr>
          </a:solidFill>
          <a:ln w="127000">
            <a:noFill/>
          </a:ln>
          <a:effectLst/>
        </c:spPr>
      </c:pivotFmt>
      <c:pivotFmt>
        <c:idx val="6"/>
        <c:spPr>
          <a:solidFill>
            <a:schemeClr val="accent5">
              <a:lumMod val="75000"/>
              <a:alpha val="99000"/>
            </a:schemeClr>
          </a:solidFill>
          <a:ln w="127000">
            <a:noFill/>
          </a:ln>
          <a:effectLst/>
        </c:spPr>
      </c:pivotFmt>
      <c:pivotFmt>
        <c:idx val="7"/>
        <c:spPr>
          <a:solidFill>
            <a:schemeClr val="accent5">
              <a:lumMod val="40000"/>
              <a:lumOff val="60000"/>
              <a:alpha val="99000"/>
            </a:schemeClr>
          </a:solidFill>
          <a:ln w="127000">
            <a:noFill/>
          </a:ln>
          <a:effectLst/>
        </c:spPr>
      </c:pivotFmt>
      <c:pivotFmt>
        <c:idx val="8"/>
        <c:spPr>
          <a:solidFill>
            <a:schemeClr val="accent5">
              <a:lumMod val="20000"/>
              <a:lumOff val="80000"/>
              <a:alpha val="99000"/>
            </a:schemeClr>
          </a:solidFill>
          <a:ln w="127000">
            <a:noFill/>
          </a:ln>
          <a:effectLst/>
        </c:spPr>
      </c:pivotFmt>
      <c:pivotFmt>
        <c:idx val="9"/>
        <c:spPr>
          <a:solidFill>
            <a:schemeClr val="accent5">
              <a:lumMod val="20000"/>
              <a:lumOff val="80000"/>
              <a:alpha val="99000"/>
            </a:schemeClr>
          </a:solidFill>
          <a:ln w="127000">
            <a:noFill/>
          </a:ln>
          <a:effectLst/>
        </c:spPr>
      </c:pivotFmt>
      <c:pivotFmt>
        <c:idx val="10"/>
        <c:spPr>
          <a:solidFill>
            <a:schemeClr val="accent5">
              <a:lumMod val="75000"/>
              <a:alpha val="99000"/>
            </a:schemeClr>
          </a:solidFill>
          <a:ln w="127000">
            <a:noFill/>
          </a:ln>
          <a:effectLst/>
        </c:spPr>
      </c:pivotFmt>
      <c:pivotFmt>
        <c:idx val="11"/>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lumMod val="20000"/>
              <a:lumOff val="80000"/>
              <a:alpha val="99000"/>
            </a:schemeClr>
          </a:solidFill>
          <a:ln w="127000">
            <a:noFill/>
          </a:ln>
          <a:effectLst/>
        </c:spPr>
      </c:pivotFmt>
      <c:pivotFmt>
        <c:idx val="13"/>
        <c:spPr>
          <a:solidFill>
            <a:schemeClr val="accent5">
              <a:lumMod val="20000"/>
              <a:lumOff val="80000"/>
              <a:alpha val="99000"/>
            </a:schemeClr>
          </a:solidFill>
          <a:ln w="127000">
            <a:noFill/>
          </a:ln>
          <a:effectLst/>
        </c:spPr>
      </c:pivotFmt>
      <c:pivotFmt>
        <c:idx val="14"/>
        <c:spPr>
          <a:solidFill>
            <a:schemeClr val="accent5">
              <a:lumMod val="40000"/>
              <a:lumOff val="60000"/>
              <a:alpha val="99000"/>
            </a:schemeClr>
          </a:solidFill>
          <a:ln w="127000">
            <a:noFill/>
          </a:ln>
          <a:effectLst/>
        </c:spPr>
      </c:pivotFmt>
      <c:pivotFmt>
        <c:idx val="15"/>
        <c:spPr>
          <a:solidFill>
            <a:schemeClr val="accent5">
              <a:lumMod val="40000"/>
              <a:lumOff val="60000"/>
              <a:alpha val="99000"/>
            </a:schemeClr>
          </a:solidFill>
          <a:ln w="127000">
            <a:noFill/>
          </a:ln>
          <a:effectLst/>
        </c:spPr>
      </c:pivotFmt>
      <c:pivotFmt>
        <c:idx val="16"/>
        <c:spPr>
          <a:solidFill>
            <a:schemeClr val="accent5">
              <a:lumMod val="60000"/>
              <a:lumOff val="40000"/>
              <a:alpha val="99000"/>
            </a:schemeClr>
          </a:solidFill>
          <a:ln w="127000">
            <a:noFill/>
          </a:ln>
          <a:effectLst/>
        </c:spPr>
      </c:pivotFmt>
      <c:pivotFmt>
        <c:idx val="17"/>
        <c:spPr>
          <a:solidFill>
            <a:schemeClr val="accent5">
              <a:lumMod val="60000"/>
              <a:lumOff val="40000"/>
              <a:alpha val="99000"/>
            </a:schemeClr>
          </a:solidFill>
          <a:ln w="127000">
            <a:noFill/>
          </a:ln>
          <a:effectLst/>
        </c:spPr>
      </c:pivotFmt>
      <c:pivotFmt>
        <c:idx val="18"/>
        <c:spPr>
          <a:solidFill>
            <a:schemeClr val="accent5">
              <a:lumMod val="75000"/>
              <a:alpha val="99000"/>
            </a:schemeClr>
          </a:solidFill>
          <a:ln w="127000">
            <a:noFill/>
          </a:ln>
          <a:effectLst/>
        </c:spPr>
      </c:pivotFmt>
      <c:pivotFmt>
        <c:idx val="19"/>
        <c:spPr>
          <a:solidFill>
            <a:schemeClr val="accent5">
              <a:lumMod val="75000"/>
              <a:alpha val="99000"/>
            </a:schemeClr>
          </a:solidFill>
          <a:ln w="127000">
            <a:noFill/>
          </a:ln>
          <a:effectLst/>
        </c:spPr>
      </c:pivotFmt>
      <c:pivotFmt>
        <c:idx val="20"/>
        <c:spPr>
          <a:solidFill>
            <a:schemeClr val="accent5">
              <a:lumMod val="75000"/>
              <a:alpha val="99000"/>
            </a:schemeClr>
          </a:solidFill>
          <a:ln w="127000">
            <a:noFill/>
          </a:ln>
          <a:effectLst/>
        </c:spPr>
      </c:pivotFmt>
      <c:pivotFmt>
        <c:idx val="21"/>
        <c:spPr>
          <a:solidFill>
            <a:schemeClr val="accent5">
              <a:lumMod val="75000"/>
              <a:alpha val="99000"/>
            </a:schemeClr>
          </a:solidFill>
          <a:ln w="127000">
            <a:noFill/>
          </a:ln>
          <a:effectLst/>
        </c:spPr>
      </c:pivotFmt>
      <c:pivotFmt>
        <c:idx val="22"/>
        <c:spPr>
          <a:solidFill>
            <a:schemeClr val="accent5">
              <a:lumMod val="75000"/>
              <a:alpha val="99000"/>
            </a:schemeClr>
          </a:solidFill>
          <a:ln w="127000">
            <a:noFill/>
          </a:ln>
          <a:effectLst/>
        </c:spPr>
      </c:pivotFmt>
      <c:pivotFmt>
        <c:idx val="23"/>
        <c:spPr>
          <a:solidFill>
            <a:schemeClr val="accent5">
              <a:lumMod val="60000"/>
              <a:lumOff val="40000"/>
              <a:alpha val="99000"/>
            </a:schemeClr>
          </a:solidFill>
          <a:ln w="127000">
            <a:noFill/>
          </a:ln>
          <a:effectLst/>
        </c:spPr>
      </c:pivotFmt>
      <c:pivotFmt>
        <c:idx val="24"/>
        <c:spPr>
          <a:solidFill>
            <a:schemeClr val="accent5">
              <a:lumMod val="60000"/>
              <a:lumOff val="40000"/>
              <a:alpha val="99000"/>
            </a:schemeClr>
          </a:solidFill>
          <a:ln w="127000">
            <a:noFill/>
          </a:ln>
          <a:effectLst/>
        </c:spPr>
      </c:pivotFmt>
      <c:pivotFmt>
        <c:idx val="25"/>
        <c:spPr>
          <a:solidFill>
            <a:schemeClr val="accent5">
              <a:lumMod val="40000"/>
              <a:lumOff val="60000"/>
              <a:alpha val="99000"/>
            </a:schemeClr>
          </a:solidFill>
          <a:ln w="127000">
            <a:noFill/>
          </a:ln>
          <a:effectLst/>
        </c:spPr>
      </c:pivotFmt>
      <c:pivotFmt>
        <c:idx val="26"/>
        <c:spPr>
          <a:solidFill>
            <a:schemeClr val="accent5">
              <a:lumMod val="40000"/>
              <a:lumOff val="60000"/>
              <a:alpha val="99000"/>
            </a:schemeClr>
          </a:solidFill>
          <a:ln w="127000">
            <a:noFill/>
          </a:ln>
          <a:effectLst/>
        </c:spPr>
      </c:pivotFmt>
      <c:pivotFmt>
        <c:idx val="27"/>
        <c:spPr>
          <a:solidFill>
            <a:schemeClr val="accent5">
              <a:lumMod val="20000"/>
              <a:lumOff val="80000"/>
              <a:alpha val="99000"/>
            </a:schemeClr>
          </a:solidFill>
          <a:ln w="127000">
            <a:noFill/>
          </a:ln>
          <a:effectLst/>
        </c:spPr>
      </c:pivotFmt>
      <c:pivotFmt>
        <c:idx val="28"/>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5">
              <a:lumMod val="20000"/>
              <a:lumOff val="80000"/>
              <a:alpha val="99000"/>
            </a:schemeClr>
          </a:solidFill>
          <a:ln w="127000">
            <a:noFill/>
          </a:ln>
          <a:effectLst/>
        </c:spPr>
      </c:pivotFmt>
      <c:pivotFmt>
        <c:idx val="30"/>
        <c:spPr>
          <a:solidFill>
            <a:schemeClr val="accent5">
              <a:lumMod val="40000"/>
              <a:lumOff val="60000"/>
              <a:alpha val="99000"/>
            </a:schemeClr>
          </a:solidFill>
          <a:ln w="127000">
            <a:noFill/>
          </a:ln>
          <a:effectLst/>
        </c:spPr>
      </c:pivotFmt>
      <c:pivotFmt>
        <c:idx val="31"/>
        <c:spPr>
          <a:solidFill>
            <a:schemeClr val="accent5">
              <a:lumMod val="40000"/>
              <a:lumOff val="60000"/>
              <a:alpha val="99000"/>
            </a:schemeClr>
          </a:solidFill>
          <a:ln w="127000">
            <a:noFill/>
          </a:ln>
          <a:effectLst/>
        </c:spPr>
      </c:pivotFmt>
      <c:pivotFmt>
        <c:idx val="32"/>
        <c:spPr>
          <a:solidFill>
            <a:schemeClr val="accent5">
              <a:lumMod val="60000"/>
              <a:lumOff val="40000"/>
              <a:alpha val="99000"/>
            </a:schemeClr>
          </a:solidFill>
          <a:ln w="127000">
            <a:noFill/>
          </a:ln>
          <a:effectLst/>
        </c:spPr>
      </c:pivotFmt>
      <c:pivotFmt>
        <c:idx val="33"/>
        <c:spPr>
          <a:solidFill>
            <a:schemeClr val="accent5">
              <a:lumMod val="60000"/>
              <a:lumOff val="40000"/>
              <a:alpha val="99000"/>
            </a:schemeClr>
          </a:solidFill>
          <a:ln w="127000">
            <a:noFill/>
          </a:ln>
          <a:effectLst/>
        </c:spPr>
      </c:pivotFmt>
      <c:pivotFmt>
        <c:idx val="34"/>
        <c:spPr>
          <a:solidFill>
            <a:schemeClr val="accent5">
              <a:lumMod val="75000"/>
              <a:alpha val="99000"/>
            </a:schemeClr>
          </a:solidFill>
          <a:ln w="127000">
            <a:noFill/>
          </a:ln>
          <a:effectLst/>
        </c:spPr>
      </c:pivotFmt>
      <c:pivotFmt>
        <c:idx val="35"/>
        <c:spPr>
          <a:solidFill>
            <a:schemeClr val="accent5">
              <a:lumMod val="75000"/>
              <a:alpha val="99000"/>
            </a:schemeClr>
          </a:solidFill>
          <a:ln w="127000">
            <a:noFill/>
          </a:ln>
          <a:effectLst/>
        </c:spPr>
      </c:pivotFmt>
      <c:pivotFmt>
        <c:idx val="36"/>
        <c:spPr>
          <a:solidFill>
            <a:schemeClr val="accent5">
              <a:lumMod val="75000"/>
              <a:alpha val="99000"/>
            </a:schemeClr>
          </a:solidFill>
          <a:ln w="127000">
            <a:noFill/>
          </a:ln>
          <a:effectLst/>
        </c:spPr>
      </c:pivotFmt>
      <c:pivotFmt>
        <c:idx val="37"/>
        <c:spPr>
          <a:solidFill>
            <a:schemeClr val="accent5">
              <a:lumMod val="60000"/>
              <a:lumOff val="40000"/>
              <a:alpha val="99000"/>
            </a:schemeClr>
          </a:solidFill>
          <a:ln w="127000">
            <a:noFill/>
          </a:ln>
          <a:effectLst/>
        </c:spPr>
      </c:pivotFmt>
      <c:pivotFmt>
        <c:idx val="38"/>
        <c:spPr>
          <a:solidFill>
            <a:schemeClr val="accent5">
              <a:lumMod val="40000"/>
              <a:lumOff val="60000"/>
              <a:alpha val="99000"/>
            </a:schemeClr>
          </a:solidFill>
          <a:ln w="127000">
            <a:noFill/>
          </a:ln>
          <a:effectLst/>
        </c:spPr>
      </c:pivotFmt>
      <c:pivotFmt>
        <c:idx val="39"/>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5">
              <a:lumMod val="40000"/>
              <a:lumOff val="60000"/>
              <a:alpha val="99000"/>
            </a:schemeClr>
          </a:solidFill>
          <a:ln w="127000">
            <a:noFill/>
          </a:ln>
          <a:effectLst/>
        </c:spPr>
      </c:pivotFmt>
      <c:pivotFmt>
        <c:idx val="41"/>
        <c:spPr>
          <a:solidFill>
            <a:schemeClr val="accent5">
              <a:lumMod val="60000"/>
              <a:lumOff val="40000"/>
              <a:alpha val="99000"/>
            </a:schemeClr>
          </a:solidFill>
          <a:ln w="127000">
            <a:noFill/>
          </a:ln>
          <a:effectLst/>
        </c:spPr>
      </c:pivotFmt>
      <c:pivotFmt>
        <c:idx val="42"/>
        <c:spPr>
          <a:solidFill>
            <a:schemeClr val="accent5">
              <a:lumMod val="75000"/>
              <a:alpha val="99000"/>
            </a:schemeClr>
          </a:solidFill>
          <a:ln w="127000">
            <a:noFill/>
          </a:ln>
          <a:effectLst/>
        </c:spPr>
      </c:pivotFmt>
      <c:pivotFmt>
        <c:idx val="43"/>
        <c:spPr>
          <a:solidFill>
            <a:schemeClr val="accent5">
              <a:lumMod val="50000"/>
              <a:alpha val="99000"/>
            </a:schemeClr>
          </a:solidFill>
          <a:ln w="127000">
            <a:noFill/>
          </a:ln>
          <a:effectLst/>
        </c:spPr>
      </c:pivotFmt>
      <c:pivotFmt>
        <c:idx val="44"/>
        <c:spPr>
          <a:solidFill>
            <a:schemeClr val="accent5">
              <a:lumMod val="75000"/>
              <a:alpha val="99000"/>
            </a:schemeClr>
          </a:solidFill>
          <a:ln w="127000">
            <a:noFill/>
          </a:ln>
          <a:effectLst/>
        </c:spPr>
      </c:pivotFmt>
      <c:pivotFmt>
        <c:idx val="45"/>
        <c:spPr>
          <a:solidFill>
            <a:schemeClr val="accent5">
              <a:lumMod val="60000"/>
              <a:lumOff val="40000"/>
              <a:alpha val="99000"/>
            </a:schemeClr>
          </a:solidFill>
          <a:ln w="127000">
            <a:noFill/>
          </a:ln>
          <a:effectLst/>
        </c:spPr>
      </c:pivotFmt>
      <c:pivotFmt>
        <c:idx val="46"/>
        <c:spPr>
          <a:solidFill>
            <a:schemeClr val="accent5">
              <a:lumMod val="40000"/>
              <a:lumOff val="60000"/>
              <a:alpha val="99000"/>
            </a:schemeClr>
          </a:solidFill>
          <a:ln w="127000">
            <a:noFill/>
          </a:ln>
          <a:effectLst/>
        </c:spPr>
      </c:pivotFmt>
      <c:pivotFmt>
        <c:idx val="47"/>
        <c:spPr>
          <a:solidFill>
            <a:schemeClr val="accent5">
              <a:lumMod val="50000"/>
              <a:alpha val="99000"/>
            </a:schemeClr>
          </a:solidFill>
          <a:ln w="127000">
            <a:noFill/>
          </a:ln>
          <a:effectLst/>
        </c:spPr>
      </c:pivotFmt>
      <c:pivotFmt>
        <c:idx val="48"/>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5">
              <a:lumMod val="40000"/>
              <a:lumOff val="60000"/>
              <a:alpha val="99000"/>
            </a:schemeClr>
          </a:solidFill>
          <a:ln w="127000">
            <a:noFill/>
          </a:ln>
          <a:effectLst/>
        </c:spPr>
      </c:pivotFmt>
      <c:pivotFmt>
        <c:idx val="50"/>
        <c:spPr>
          <a:solidFill>
            <a:schemeClr val="accent5">
              <a:lumMod val="60000"/>
              <a:lumOff val="40000"/>
              <a:alpha val="99000"/>
            </a:schemeClr>
          </a:solidFill>
          <a:ln w="127000">
            <a:noFill/>
          </a:ln>
          <a:effectLst/>
        </c:spPr>
      </c:pivotFmt>
      <c:pivotFmt>
        <c:idx val="51"/>
        <c:spPr>
          <a:solidFill>
            <a:schemeClr val="accent5">
              <a:lumMod val="75000"/>
              <a:alpha val="99000"/>
            </a:schemeClr>
          </a:solidFill>
          <a:ln w="127000">
            <a:noFill/>
          </a:ln>
          <a:effectLst/>
        </c:spPr>
      </c:pivotFmt>
      <c:pivotFmt>
        <c:idx val="52"/>
        <c:spPr>
          <a:solidFill>
            <a:schemeClr val="accent5">
              <a:lumMod val="50000"/>
              <a:alpha val="99000"/>
            </a:schemeClr>
          </a:solidFill>
          <a:ln w="127000">
            <a:noFill/>
          </a:ln>
          <a:effectLst/>
        </c:spPr>
      </c:pivotFmt>
      <c:pivotFmt>
        <c:idx val="53"/>
        <c:spPr>
          <a:solidFill>
            <a:schemeClr val="accent5">
              <a:lumMod val="75000"/>
              <a:alpha val="99000"/>
            </a:schemeClr>
          </a:solidFill>
          <a:ln w="127000">
            <a:noFill/>
          </a:ln>
          <a:effectLst/>
        </c:spPr>
      </c:pivotFmt>
      <c:pivotFmt>
        <c:idx val="54"/>
        <c:spPr>
          <a:solidFill>
            <a:schemeClr val="accent5">
              <a:lumMod val="75000"/>
              <a:alpha val="99000"/>
            </a:schemeClr>
          </a:solidFill>
          <a:ln w="127000">
            <a:noFill/>
          </a:ln>
          <a:effectLst/>
        </c:spPr>
      </c:pivotFmt>
      <c:pivotFmt>
        <c:idx val="55"/>
        <c:spPr>
          <a:solidFill>
            <a:schemeClr val="accent5">
              <a:lumMod val="60000"/>
              <a:lumOff val="40000"/>
              <a:alpha val="99000"/>
            </a:schemeClr>
          </a:solidFill>
          <a:ln w="127000">
            <a:noFill/>
          </a:ln>
          <a:effectLst/>
        </c:spPr>
      </c:pivotFmt>
      <c:pivotFmt>
        <c:idx val="56"/>
        <c:spPr>
          <a:solidFill>
            <a:schemeClr val="accent5">
              <a:lumMod val="60000"/>
              <a:lumOff val="40000"/>
              <a:alpha val="99000"/>
            </a:schemeClr>
          </a:solidFill>
          <a:ln w="127000">
            <a:noFill/>
          </a:ln>
          <a:effectLst/>
        </c:spPr>
      </c:pivotFmt>
      <c:pivotFmt>
        <c:idx val="57"/>
        <c:spPr>
          <a:solidFill>
            <a:schemeClr val="accent5">
              <a:lumMod val="40000"/>
              <a:lumOff val="60000"/>
              <a:alpha val="99000"/>
            </a:schemeClr>
          </a:solidFill>
          <a:ln w="127000">
            <a:noFill/>
          </a:ln>
          <a:effectLst/>
        </c:spPr>
      </c:pivotFmt>
      <c:pivotFmt>
        <c:idx val="58"/>
        <c:spPr>
          <a:solidFill>
            <a:schemeClr val="accent5">
              <a:lumMod val="40000"/>
              <a:lumOff val="60000"/>
              <a:alpha val="99000"/>
            </a:schemeClr>
          </a:solidFill>
          <a:ln w="127000">
            <a:noFill/>
          </a:ln>
          <a:effectLst/>
        </c:spPr>
      </c:pivotFmt>
      <c:pivotFmt>
        <c:idx val="59"/>
        <c:spPr>
          <a:solidFill>
            <a:schemeClr val="accent5">
              <a:lumMod val="40000"/>
              <a:lumOff val="60000"/>
              <a:alpha val="99000"/>
            </a:schemeClr>
          </a:solidFill>
          <a:ln w="127000">
            <a:noFill/>
          </a:ln>
          <a:effectLst/>
        </c:spPr>
      </c:pivotFmt>
      <c:pivotFmt>
        <c:idx val="60"/>
        <c:spPr>
          <a:solidFill>
            <a:schemeClr val="accent5">
              <a:lumMod val="20000"/>
              <a:lumOff val="80000"/>
              <a:alpha val="99000"/>
            </a:schemeClr>
          </a:solidFill>
          <a:ln w="127000">
            <a:noFill/>
          </a:ln>
          <a:effectLst/>
        </c:spPr>
      </c:pivotFmt>
      <c:pivotFmt>
        <c:idx val="61"/>
        <c:spPr>
          <a:solidFill>
            <a:schemeClr val="accent5">
              <a:lumMod val="20000"/>
              <a:lumOff val="80000"/>
              <a:alpha val="99000"/>
            </a:schemeClr>
          </a:solidFill>
          <a:ln w="127000">
            <a:noFill/>
          </a:ln>
          <a:effectLst/>
        </c:spPr>
      </c:pivotFmt>
      <c:pivotFmt>
        <c:idx val="62"/>
        <c:spPr>
          <a:solidFill>
            <a:schemeClr val="accent5">
              <a:lumMod val="20000"/>
              <a:lumOff val="80000"/>
              <a:alpha val="99000"/>
            </a:schemeClr>
          </a:solidFill>
          <a:ln w="127000">
            <a:noFill/>
          </a:ln>
          <a:effectLst/>
        </c:spPr>
      </c:pivotFmt>
      <c:pivotFmt>
        <c:idx val="63"/>
        <c:spPr>
          <a:solidFill>
            <a:schemeClr val="accent5">
              <a:lumMod val="75000"/>
              <a:alpha val="99000"/>
            </a:schemeClr>
          </a:solidFill>
          <a:ln w="127000">
            <a:noFill/>
          </a:ln>
          <a:effectLst/>
        </c:spPr>
      </c:pivotFmt>
      <c:pivotFmt>
        <c:idx val="64"/>
        <c:spPr>
          <a:solidFill>
            <a:schemeClr val="accent5">
              <a:lumMod val="75000"/>
              <a:alpha val="99000"/>
            </a:schemeClr>
          </a:solidFill>
          <a:ln w="127000">
            <a:noFill/>
          </a:ln>
          <a:effectLst/>
        </c:spPr>
      </c:pivotFmt>
      <c:pivotFmt>
        <c:idx val="65"/>
        <c:spPr>
          <a:solidFill>
            <a:schemeClr val="accent5">
              <a:lumMod val="75000"/>
              <a:alpha val="99000"/>
            </a:schemeClr>
          </a:solidFill>
          <a:ln w="127000">
            <a:noFill/>
          </a:ln>
          <a:effectLst/>
        </c:spPr>
      </c:pivotFmt>
      <c:pivotFmt>
        <c:idx val="66"/>
        <c:spPr>
          <a:solidFill>
            <a:schemeClr val="accent5">
              <a:lumMod val="60000"/>
              <a:lumOff val="40000"/>
              <a:alpha val="99000"/>
            </a:schemeClr>
          </a:solidFill>
          <a:ln w="127000">
            <a:noFill/>
          </a:ln>
          <a:effectLst/>
        </c:spPr>
      </c:pivotFmt>
      <c:pivotFmt>
        <c:idx val="67"/>
        <c:spPr>
          <a:solidFill>
            <a:schemeClr val="accent5">
              <a:lumMod val="60000"/>
              <a:lumOff val="40000"/>
              <a:alpha val="99000"/>
            </a:schemeClr>
          </a:solidFill>
          <a:ln w="127000">
            <a:noFill/>
          </a:ln>
          <a:effectLst/>
        </c:spPr>
      </c:pivotFmt>
      <c:pivotFmt>
        <c:idx val="68"/>
        <c:spPr>
          <a:solidFill>
            <a:schemeClr val="accent5">
              <a:lumMod val="40000"/>
              <a:lumOff val="60000"/>
              <a:alpha val="99000"/>
            </a:schemeClr>
          </a:solidFill>
          <a:ln w="127000">
            <a:noFill/>
          </a:ln>
          <a:effectLst/>
        </c:spPr>
      </c:pivotFmt>
      <c:pivotFmt>
        <c:idx val="69"/>
        <c:spPr>
          <a:solidFill>
            <a:schemeClr val="accent5">
              <a:lumMod val="40000"/>
              <a:lumOff val="60000"/>
              <a:alpha val="99000"/>
            </a:schemeClr>
          </a:solidFill>
          <a:ln w="127000">
            <a:noFill/>
          </a:ln>
          <a:effectLst/>
        </c:spPr>
      </c:pivotFmt>
      <c:pivotFmt>
        <c:idx val="70"/>
        <c:spPr>
          <a:solidFill>
            <a:schemeClr val="accent5">
              <a:lumMod val="40000"/>
              <a:lumOff val="60000"/>
              <a:alpha val="99000"/>
            </a:schemeClr>
          </a:solidFill>
          <a:ln w="127000">
            <a:noFill/>
          </a:ln>
          <a:effectLst/>
        </c:spPr>
      </c:pivotFmt>
      <c:pivotFmt>
        <c:idx val="71"/>
        <c:spPr>
          <a:solidFill>
            <a:schemeClr val="accent5">
              <a:lumMod val="20000"/>
              <a:lumOff val="80000"/>
              <a:alpha val="99000"/>
            </a:schemeClr>
          </a:solidFill>
          <a:ln w="127000">
            <a:noFill/>
          </a:ln>
          <a:effectLst/>
        </c:spPr>
      </c:pivotFmt>
      <c:pivotFmt>
        <c:idx val="72"/>
        <c:spPr>
          <a:solidFill>
            <a:schemeClr val="accent5">
              <a:lumMod val="20000"/>
              <a:lumOff val="80000"/>
              <a:alpha val="99000"/>
            </a:schemeClr>
          </a:solidFill>
          <a:ln w="127000">
            <a:noFill/>
          </a:ln>
          <a:effectLst/>
        </c:spPr>
      </c:pivotFmt>
      <c:pivotFmt>
        <c:idx val="73"/>
        <c:spPr>
          <a:solidFill>
            <a:schemeClr val="accent5">
              <a:lumMod val="75000"/>
              <a:alpha val="99000"/>
            </a:schemeClr>
          </a:solidFill>
          <a:ln w="127000">
            <a:noFill/>
          </a:ln>
          <a:effectLst/>
        </c:spPr>
      </c:pivotFmt>
      <c:pivotFmt>
        <c:idx val="74"/>
        <c:spPr>
          <a:solidFill>
            <a:schemeClr val="accent5">
              <a:lumMod val="60000"/>
              <a:lumOff val="40000"/>
              <a:alpha val="99000"/>
            </a:schemeClr>
          </a:solidFill>
          <a:ln w="127000">
            <a:noFill/>
          </a:ln>
          <a:effectLst/>
        </c:spPr>
      </c:pivotFmt>
      <c:pivotFmt>
        <c:idx val="75"/>
        <c:spPr>
          <a:solidFill>
            <a:schemeClr val="accent5">
              <a:lumMod val="40000"/>
              <a:lumOff val="60000"/>
              <a:alpha val="99000"/>
            </a:schemeClr>
          </a:solidFill>
          <a:ln w="127000">
            <a:noFill/>
          </a:ln>
          <a:effectLst/>
        </c:spPr>
      </c:pivotFmt>
      <c:pivotFmt>
        <c:idx val="76"/>
        <c:spPr>
          <a:solidFill>
            <a:schemeClr val="accent5">
              <a:lumMod val="20000"/>
              <a:lumOff val="80000"/>
              <a:alpha val="99000"/>
            </a:schemeClr>
          </a:solidFill>
          <a:ln w="127000">
            <a:noFill/>
          </a:ln>
          <a:effectLst/>
        </c:spPr>
      </c:pivotFmt>
      <c:pivotFmt>
        <c:idx val="77"/>
        <c:spPr>
          <a:solidFill>
            <a:schemeClr val="accent5">
              <a:lumMod val="50000"/>
              <a:alpha val="99000"/>
            </a:schemeClr>
          </a:solidFill>
          <a:ln w="12700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5">
              <a:lumMod val="75000"/>
              <a:alpha val="99000"/>
            </a:schemeClr>
          </a:solidFill>
          <a:ln w="127000">
            <a:noFill/>
          </a:ln>
          <a:effectLst/>
        </c:spPr>
      </c:pivotFmt>
      <c:pivotFmt>
        <c:idx val="79"/>
        <c:spPr>
          <a:solidFill>
            <a:schemeClr val="accent5">
              <a:lumMod val="60000"/>
              <a:lumOff val="40000"/>
              <a:alpha val="99000"/>
            </a:schemeClr>
          </a:solidFill>
          <a:ln w="127000">
            <a:noFill/>
          </a:ln>
          <a:effectLst/>
        </c:spPr>
      </c:pivotFmt>
      <c:pivotFmt>
        <c:idx val="80"/>
        <c:spPr>
          <a:solidFill>
            <a:schemeClr val="accent5">
              <a:lumMod val="40000"/>
              <a:lumOff val="60000"/>
              <a:alpha val="99000"/>
            </a:schemeClr>
          </a:solidFill>
          <a:ln w="127000">
            <a:noFill/>
          </a:ln>
          <a:effectLst/>
        </c:spPr>
      </c:pivotFmt>
      <c:pivotFmt>
        <c:idx val="81"/>
        <c:spPr>
          <a:solidFill>
            <a:schemeClr val="accent5">
              <a:lumMod val="20000"/>
              <a:lumOff val="80000"/>
              <a:alpha val="99000"/>
            </a:schemeClr>
          </a:solidFill>
          <a:ln w="127000">
            <a:noFill/>
          </a:ln>
          <a:effectLst/>
        </c:spPr>
      </c:pivotFmt>
      <c:pivotFmt>
        <c:idx val="82"/>
        <c:spPr>
          <a:solidFill>
            <a:srgbClr val="4B752F">
              <a:alpha val="99000"/>
            </a:srgbClr>
          </a:solidFill>
          <a:ln w="1270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rgbClr val="4B752F">
              <a:alpha val="99000"/>
            </a:srgbClr>
          </a:solidFill>
          <a:ln w="127000">
            <a:noFill/>
          </a:ln>
          <a:effectLst/>
        </c:spPr>
      </c:pivotFmt>
      <c:pivotFmt>
        <c:idx val="84"/>
        <c:spPr>
          <a:solidFill>
            <a:srgbClr val="4B752F">
              <a:alpha val="99000"/>
            </a:srgbClr>
          </a:solidFill>
          <a:ln w="127000">
            <a:noFill/>
          </a:ln>
          <a:effectLst/>
        </c:spPr>
      </c:pivotFmt>
      <c:pivotFmt>
        <c:idx val="85"/>
        <c:spPr>
          <a:solidFill>
            <a:srgbClr val="4B752F">
              <a:alpha val="99000"/>
            </a:srgbClr>
          </a:solidFill>
          <a:ln w="127000">
            <a:noFill/>
          </a:ln>
          <a:effectLst/>
        </c:spPr>
      </c:pivotFmt>
      <c:pivotFmt>
        <c:idx val="86"/>
        <c:spPr>
          <a:solidFill>
            <a:srgbClr val="4B752F">
              <a:alpha val="99000"/>
            </a:srgbClr>
          </a:solidFill>
          <a:ln w="127000">
            <a:noFill/>
          </a:ln>
          <a:effectLst/>
        </c:spPr>
      </c:pivotFmt>
    </c:pivotFmts>
    <c:plotArea>
      <c:layout>
        <c:manualLayout>
          <c:layoutTarget val="inner"/>
          <c:xMode val="edge"/>
          <c:yMode val="edge"/>
          <c:x val="5.0626221902947965E-2"/>
          <c:y val="0.16878378871387706"/>
          <c:w val="0.88370658660758228"/>
          <c:h val="0.58286637741748493"/>
        </c:manualLayout>
      </c:layout>
      <c:barChart>
        <c:barDir val="col"/>
        <c:grouping val="clustered"/>
        <c:varyColors val="0"/>
        <c:ser>
          <c:idx val="0"/>
          <c:order val="0"/>
          <c:tx>
            <c:strRef>
              <c:f>'SALES BY PRODUCT CATEGORY'!$B$3</c:f>
              <c:strCache>
                <c:ptCount val="1"/>
                <c:pt idx="0">
                  <c:v>Total</c:v>
                </c:pt>
              </c:strCache>
            </c:strRef>
          </c:tx>
          <c:spPr>
            <a:solidFill>
              <a:srgbClr val="4B752F">
                <a:alpha val="99000"/>
              </a:srgbClr>
            </a:solidFill>
            <a:ln w="127000">
              <a:noFill/>
            </a:ln>
            <a:effectLst/>
          </c:spPr>
          <c:invertIfNegative val="0"/>
          <c:dPt>
            <c:idx val="0"/>
            <c:invertIfNegative val="0"/>
            <c:bubble3D val="0"/>
            <c:extLst>
              <c:ext xmlns:c16="http://schemas.microsoft.com/office/drawing/2014/chart" uri="{C3380CC4-5D6E-409C-BE32-E72D297353CC}">
                <c16:uniqueId val="{00000000-8535-468D-991E-8591B92642A2}"/>
              </c:ext>
            </c:extLst>
          </c:dPt>
          <c:dPt>
            <c:idx val="1"/>
            <c:invertIfNegative val="0"/>
            <c:bubble3D val="0"/>
            <c:spPr>
              <a:solidFill>
                <a:srgbClr val="4B752F">
                  <a:alpha val="99000"/>
                </a:srgbClr>
              </a:solidFill>
              <a:ln w="127000">
                <a:noFill/>
              </a:ln>
              <a:effectLst/>
            </c:spPr>
            <c:extLst>
              <c:ext xmlns:c16="http://schemas.microsoft.com/office/drawing/2014/chart" uri="{C3380CC4-5D6E-409C-BE32-E72D297353CC}">
                <c16:uniqueId val="{00000002-8535-468D-991E-8591B92642A2}"/>
              </c:ext>
            </c:extLst>
          </c:dPt>
          <c:dPt>
            <c:idx val="2"/>
            <c:invertIfNegative val="0"/>
            <c:bubble3D val="0"/>
            <c:spPr>
              <a:solidFill>
                <a:srgbClr val="4B752F">
                  <a:alpha val="99000"/>
                </a:srgbClr>
              </a:solidFill>
              <a:ln w="127000">
                <a:noFill/>
              </a:ln>
              <a:effectLst/>
            </c:spPr>
            <c:extLst>
              <c:ext xmlns:c16="http://schemas.microsoft.com/office/drawing/2014/chart" uri="{C3380CC4-5D6E-409C-BE32-E72D297353CC}">
                <c16:uniqueId val="{00000004-8535-468D-991E-8591B92642A2}"/>
              </c:ext>
            </c:extLst>
          </c:dPt>
          <c:dPt>
            <c:idx val="3"/>
            <c:invertIfNegative val="0"/>
            <c:bubble3D val="0"/>
            <c:spPr>
              <a:solidFill>
                <a:srgbClr val="4B752F">
                  <a:alpha val="99000"/>
                </a:srgbClr>
              </a:solidFill>
              <a:ln w="127000">
                <a:noFill/>
              </a:ln>
              <a:effectLst/>
            </c:spPr>
            <c:extLst>
              <c:ext xmlns:c16="http://schemas.microsoft.com/office/drawing/2014/chart" uri="{C3380CC4-5D6E-409C-BE32-E72D297353CC}">
                <c16:uniqueId val="{00000006-8535-468D-991E-8591B92642A2}"/>
              </c:ext>
            </c:extLst>
          </c:dPt>
          <c:dPt>
            <c:idx val="4"/>
            <c:invertIfNegative val="0"/>
            <c:bubble3D val="0"/>
            <c:spPr>
              <a:solidFill>
                <a:srgbClr val="4B752F">
                  <a:alpha val="99000"/>
                </a:srgbClr>
              </a:solidFill>
              <a:ln w="127000">
                <a:noFill/>
              </a:ln>
              <a:effectLst/>
            </c:spPr>
            <c:extLst>
              <c:ext xmlns:c16="http://schemas.microsoft.com/office/drawing/2014/chart" uri="{C3380CC4-5D6E-409C-BE32-E72D297353CC}">
                <c16:uniqueId val="{00000008-8535-468D-991E-8591B92642A2}"/>
              </c:ext>
            </c:extLst>
          </c:dPt>
          <c:dPt>
            <c:idx val="5"/>
            <c:invertIfNegative val="0"/>
            <c:bubble3D val="0"/>
            <c:extLst>
              <c:ext xmlns:c16="http://schemas.microsoft.com/office/drawing/2014/chart" uri="{C3380CC4-5D6E-409C-BE32-E72D297353CC}">
                <c16:uniqueId val="{00000009-8535-468D-991E-8591B92642A2}"/>
              </c:ext>
            </c:extLst>
          </c:dPt>
          <c:dPt>
            <c:idx val="6"/>
            <c:invertIfNegative val="0"/>
            <c:bubble3D val="0"/>
            <c:extLst>
              <c:ext xmlns:c16="http://schemas.microsoft.com/office/drawing/2014/chart" uri="{C3380CC4-5D6E-409C-BE32-E72D297353CC}">
                <c16:uniqueId val="{0000000A-8535-468D-991E-8591B92642A2}"/>
              </c:ext>
            </c:extLst>
          </c:dPt>
          <c:dPt>
            <c:idx val="7"/>
            <c:invertIfNegative val="0"/>
            <c:bubble3D val="0"/>
            <c:extLst>
              <c:ext xmlns:c16="http://schemas.microsoft.com/office/drawing/2014/chart" uri="{C3380CC4-5D6E-409C-BE32-E72D297353CC}">
                <c16:uniqueId val="{0000000B-8535-468D-991E-8591B92642A2}"/>
              </c:ext>
            </c:extLst>
          </c:dPt>
          <c:dPt>
            <c:idx val="8"/>
            <c:invertIfNegative val="0"/>
            <c:bubble3D val="0"/>
            <c:extLst>
              <c:ext xmlns:c16="http://schemas.microsoft.com/office/drawing/2014/chart" uri="{C3380CC4-5D6E-409C-BE32-E72D297353CC}">
                <c16:uniqueId val="{0000000C-8535-468D-991E-8591B92642A2}"/>
              </c:ext>
            </c:extLst>
          </c:dPt>
          <c:dPt>
            <c:idx val="9"/>
            <c:invertIfNegative val="0"/>
            <c:bubble3D val="0"/>
            <c:extLst>
              <c:ext xmlns:c16="http://schemas.microsoft.com/office/drawing/2014/chart" uri="{C3380CC4-5D6E-409C-BE32-E72D297353CC}">
                <c16:uniqueId val="{0000000D-8535-468D-991E-8591B92642A2}"/>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PRODUCT CATEGORY'!$A$4:$A$9</c:f>
              <c:strCache>
                <c:ptCount val="5"/>
                <c:pt idx="0">
                  <c:v>Beverages</c:v>
                </c:pt>
                <c:pt idx="1">
                  <c:v>Sauces</c:v>
                </c:pt>
                <c:pt idx="2">
                  <c:v>Jams, Preserves</c:v>
                </c:pt>
                <c:pt idx="3">
                  <c:v>Dairy Products</c:v>
                </c:pt>
                <c:pt idx="4">
                  <c:v>Dried Fruit &amp; Nuts</c:v>
                </c:pt>
              </c:strCache>
            </c:strRef>
          </c:cat>
          <c:val>
            <c:numRef>
              <c:f>'SALES BY PRODUCT CATEGORY'!$B$4:$B$9</c:f>
              <c:numCache>
                <c:formatCode>"$"#,##0.00</c:formatCode>
                <c:ptCount val="5"/>
                <c:pt idx="0">
                  <c:v>110577.10999999999</c:v>
                </c:pt>
                <c:pt idx="1">
                  <c:v>69000</c:v>
                </c:pt>
                <c:pt idx="2">
                  <c:v>51541</c:v>
                </c:pt>
                <c:pt idx="3">
                  <c:v>33129.600000000006</c:v>
                </c:pt>
                <c:pt idx="4">
                  <c:v>27999.5</c:v>
                </c:pt>
              </c:numCache>
            </c:numRef>
          </c:val>
          <c:extLst>
            <c:ext xmlns:c16="http://schemas.microsoft.com/office/drawing/2014/chart" uri="{C3380CC4-5D6E-409C-BE32-E72D297353CC}">
              <c16:uniqueId val="{0000000E-8535-468D-991E-8591B92642A2}"/>
            </c:ext>
          </c:extLst>
        </c:ser>
        <c:dLbls>
          <c:dLblPos val="outEnd"/>
          <c:showLegendKey val="0"/>
          <c:showVal val="1"/>
          <c:showCatName val="0"/>
          <c:showSerName val="0"/>
          <c:showPercent val="0"/>
          <c:showBubbleSize val="0"/>
        </c:dLbls>
        <c:gapWidth val="75"/>
        <c:axId val="747753344"/>
        <c:axId val="747765824"/>
      </c:barChart>
      <c:valAx>
        <c:axId val="74776582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747753344"/>
        <c:crosses val="autoZero"/>
        <c:crossBetween val="between"/>
      </c:valAx>
      <c:catAx>
        <c:axId val="747753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74776582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12700">
        <a:srgbClr val="538034">
          <a:alpha val="0"/>
        </a:srgbClr>
      </a:glow>
      <a:outerShdw blurRad="12700" dir="5400000" sx="96000" sy="96000" algn="ctr" rotWithShape="0">
        <a:srgbClr val="4B752F">
          <a:alpha val="70000"/>
        </a:srgbClr>
      </a:outerShdw>
      <a:softEdge rad="25400"/>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[TARGET ANALYSED DATA.xlsx]SALES TREND REPORT!PivotTable1</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rgbClr val="365422"/>
                </a:solidFill>
                <a:latin typeface="Arial" panose="020B0604020202020204" pitchFamily="34" charset="0"/>
                <a:cs typeface="Arial" panose="020B0604020202020204" pitchFamily="34" charset="0"/>
              </a:rPr>
              <a:t>Sales</a:t>
            </a:r>
            <a:r>
              <a:rPr lang="en-US" sz="1200" b="1" baseline="0">
                <a:solidFill>
                  <a:srgbClr val="365422"/>
                </a:solidFill>
                <a:latin typeface="Arial" panose="020B0604020202020204" pitchFamily="34" charset="0"/>
                <a:cs typeface="Arial" panose="020B0604020202020204" pitchFamily="34" charset="0"/>
              </a:rPr>
              <a:t> Trend Report </a:t>
            </a:r>
            <a:r>
              <a:rPr lang="en-US" sz="900" b="1" i="1" baseline="0">
                <a:solidFill>
                  <a:srgbClr val="365422"/>
                </a:solidFill>
                <a:latin typeface="Arial" panose="020B0604020202020204" pitchFamily="34" charset="0"/>
                <a:cs typeface="Arial" panose="020B0604020202020204" pitchFamily="34" charset="0"/>
              </a:rPr>
              <a:t>for the Year</a:t>
            </a:r>
            <a:endParaRPr lang="en-US" sz="900" b="1" i="1">
              <a:solidFill>
                <a:srgbClr val="365422"/>
              </a:solidFill>
              <a:latin typeface="Arial" panose="020B0604020202020204" pitchFamily="34" charset="0"/>
              <a:cs typeface="Arial" panose="020B0604020202020204" pitchFamily="34" charset="0"/>
            </a:endParaRPr>
          </a:p>
        </c:rich>
      </c:tx>
      <c:layout>
        <c:manualLayout>
          <c:xMode val="edge"/>
          <c:yMode val="edge"/>
          <c:x val="2.6960696816973953E-2"/>
          <c:y val="4.4862613730176443E-2"/>
        </c:manualLayout>
      </c:layout>
      <c:overlay val="0"/>
      <c:spPr>
        <a:noFill/>
        <a:ln>
          <a:noFill/>
        </a:ln>
        <a:effectLst/>
      </c:spPr>
    </c:title>
    <c:autoTitleDeleted val="0"/>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rgbClr val="4B752F"/>
            </a:solidFill>
            <a:round/>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ln w="25400" cap="rnd">
            <a:solidFill>
              <a:srgbClr val="4B752F"/>
            </a:solidFill>
            <a:round/>
          </a:ln>
          <a:effectLst/>
        </c:spPr>
        <c:marker>
          <c:symbol val="none"/>
        </c:marker>
      </c:pivotFmt>
      <c:pivotFmt>
        <c:idx val="4"/>
        <c:spPr>
          <a:ln w="25400" cap="rnd">
            <a:solidFill>
              <a:srgbClr val="4B752F"/>
            </a:solidFill>
            <a:round/>
          </a:ln>
          <a:effectLst/>
        </c:spPr>
        <c:marker>
          <c:symbol val="none"/>
        </c:marker>
        <c:dLbl>
          <c:idx val="0"/>
          <c:layout>
            <c:manualLayout>
              <c:x val="-0.12024235263855439"/>
              <c:y val="-0.18002284944741023"/>
            </c:manualLayout>
          </c:layout>
          <c:spPr>
            <a:noFill/>
            <a:ln>
              <a:noFill/>
            </a:ln>
            <a:effectLst/>
          </c:spPr>
          <c:txPr>
            <a:bodyPr rot="0" spcFirstLastPara="1" vertOverflow="ellipsis" vert="horz" wrap="non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ln w="25400" cap="rnd">
            <a:solidFill>
              <a:srgbClr val="4B752F"/>
            </a:solidFill>
            <a:round/>
          </a:ln>
          <a:effectLst/>
        </c:spPr>
        <c:marker>
          <c:symbol val="none"/>
        </c:marker>
        <c:dLbl>
          <c:idx val="0"/>
          <c:layout>
            <c:manualLayout>
              <c:x val="-0.11992942790864834"/>
              <c:y val="-0.12113234339236428"/>
            </c:manualLayout>
          </c:layout>
          <c:spPr>
            <a:noFill/>
            <a:ln>
              <a:noFill/>
            </a:ln>
            <a:effectLst/>
          </c:spPr>
          <c:txPr>
            <a:bodyPr rot="0" spcFirstLastPara="1" vertOverflow="ellipsis" vert="horz" wrap="non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ln w="25400" cap="rnd">
            <a:solidFill>
              <a:srgbClr val="4B752F"/>
            </a:solidFill>
            <a:round/>
          </a:ln>
          <a:effectLst/>
        </c:spPr>
        <c:marker>
          <c:symbol val="none"/>
        </c:marker>
        <c:dLbl>
          <c:idx val="0"/>
          <c:layout>
            <c:manualLayout>
              <c:x val="-8.0095403012382785E-2"/>
              <c:y val="-0.36421174884996826"/>
            </c:manualLayout>
          </c:layout>
          <c:spPr>
            <a:noFill/>
            <a:ln>
              <a:noFill/>
            </a:ln>
            <a:effectLst/>
          </c:spPr>
          <c:txPr>
            <a:bodyPr rot="0" spcFirstLastPara="1" vertOverflow="ellipsis" vert="horz" wrap="non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ln w="25400" cap="rnd">
            <a:solidFill>
              <a:srgbClr val="4B752F"/>
            </a:solidFill>
            <a:round/>
          </a:ln>
          <a:effectLst/>
        </c:spPr>
        <c:marker>
          <c:symbol val="none"/>
        </c:marker>
        <c:dLbl>
          <c:idx val="0"/>
          <c:layout>
            <c:manualLayout>
              <c:x val="-0.11660992583395959"/>
              <c:y val="-9.3613920133012937E-2"/>
            </c:manualLayout>
          </c:layout>
          <c:spPr>
            <a:noFill/>
            <a:ln>
              <a:noFill/>
            </a:ln>
            <a:effectLst/>
          </c:spPr>
          <c:txPr>
            <a:bodyPr rot="0" spcFirstLastPara="1" vertOverflow="ellipsis" vert="horz" wrap="non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ln w="25400" cap="rnd">
            <a:solidFill>
              <a:srgbClr val="4B752F"/>
            </a:solidFill>
            <a:round/>
          </a:ln>
          <a:effectLst/>
        </c:spPr>
        <c:marker>
          <c:symbol val="none"/>
        </c:marker>
        <c:dLbl>
          <c:idx val="0"/>
          <c:layout>
            <c:manualLayout>
              <c:x val="-0.10098474205247165"/>
              <c:y val="-0.15782357440483288"/>
            </c:manualLayout>
          </c:layout>
          <c:spPr>
            <a:noFill/>
            <a:ln>
              <a:noFill/>
            </a:ln>
            <a:effectLst/>
          </c:spPr>
          <c:txPr>
            <a:bodyPr rot="0" spcFirstLastPara="1" vertOverflow="ellipsis" vert="horz" wrap="non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ln w="25400" cap="rnd">
            <a:solidFill>
              <a:srgbClr val="4B752F"/>
            </a:solidFill>
            <a:round/>
          </a:ln>
          <a:effectLst/>
        </c:spPr>
        <c:marker>
          <c:symbol val="none"/>
        </c:marker>
        <c:dLbl>
          <c:idx val="0"/>
          <c:layout>
            <c:manualLayout>
              <c:x val="-0.11992942790864834"/>
              <c:y val="-0.13489155502204006"/>
            </c:manualLayout>
          </c:layout>
          <c:spPr>
            <a:noFill/>
            <a:ln>
              <a:noFill/>
            </a:ln>
            <a:effectLst/>
          </c:spPr>
          <c:txPr>
            <a:bodyPr rot="0" spcFirstLastPara="1" vertOverflow="ellipsis" vert="horz" wrap="non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3.2286993171496713E-2"/>
          <c:y val="0.14427347838150106"/>
          <c:w val="0.92983304472832995"/>
          <c:h val="0.70419934028011011"/>
        </c:manualLayout>
      </c:layout>
      <c:lineChart>
        <c:grouping val="standard"/>
        <c:varyColors val="0"/>
        <c:ser>
          <c:idx val="0"/>
          <c:order val="0"/>
          <c:tx>
            <c:strRef>
              <c:f>'SALES TREND REPORT'!$B$3</c:f>
              <c:strCache>
                <c:ptCount val="1"/>
                <c:pt idx="0">
                  <c:v>Total</c:v>
                </c:pt>
              </c:strCache>
            </c:strRef>
          </c:tx>
          <c:spPr>
            <a:ln w="25400" cap="rnd">
              <a:solidFill>
                <a:srgbClr val="4B752F"/>
              </a:solidFill>
              <a:round/>
            </a:ln>
            <a:effectLst/>
          </c:spPr>
          <c:marker>
            <c:symbol val="none"/>
          </c:marker>
          <c:dPt>
            <c:idx val="0"/>
            <c:bubble3D val="0"/>
            <c:extLst>
              <c:ext xmlns:c16="http://schemas.microsoft.com/office/drawing/2014/chart" uri="{C3380CC4-5D6E-409C-BE32-E72D297353CC}">
                <c16:uniqueId val="{00000004-467F-4787-8F0F-E38654B5C682}"/>
              </c:ext>
            </c:extLst>
          </c:dPt>
          <c:dPt>
            <c:idx val="1"/>
            <c:bubble3D val="0"/>
            <c:extLst>
              <c:ext xmlns:c16="http://schemas.microsoft.com/office/drawing/2014/chart" uri="{C3380CC4-5D6E-409C-BE32-E72D297353CC}">
                <c16:uniqueId val="{00000005-467F-4787-8F0F-E38654B5C682}"/>
              </c:ext>
            </c:extLst>
          </c:dPt>
          <c:dPt>
            <c:idx val="3"/>
            <c:bubble3D val="0"/>
            <c:extLst>
              <c:ext xmlns:c16="http://schemas.microsoft.com/office/drawing/2014/chart" uri="{C3380CC4-5D6E-409C-BE32-E72D297353CC}">
                <c16:uniqueId val="{00000006-467F-4787-8F0F-E38654B5C682}"/>
              </c:ext>
            </c:extLst>
          </c:dPt>
          <c:dPt>
            <c:idx val="4"/>
            <c:bubble3D val="0"/>
            <c:extLst>
              <c:ext xmlns:c16="http://schemas.microsoft.com/office/drawing/2014/chart" uri="{C3380CC4-5D6E-409C-BE32-E72D297353CC}">
                <c16:uniqueId val="{00000008-467F-4787-8F0F-E38654B5C682}"/>
              </c:ext>
            </c:extLst>
          </c:dPt>
          <c:dPt>
            <c:idx val="5"/>
            <c:bubble3D val="0"/>
            <c:extLst>
              <c:ext xmlns:c16="http://schemas.microsoft.com/office/drawing/2014/chart" uri="{C3380CC4-5D6E-409C-BE32-E72D297353CC}">
                <c16:uniqueId val="{00000001-5033-41CB-B36D-B26E4EA3CB29}"/>
              </c:ext>
            </c:extLst>
          </c:dPt>
          <c:dPt>
            <c:idx val="7"/>
            <c:bubble3D val="0"/>
            <c:extLst>
              <c:ext xmlns:c16="http://schemas.microsoft.com/office/drawing/2014/chart" uri="{C3380CC4-5D6E-409C-BE32-E72D297353CC}">
                <c16:uniqueId val="{00000002-C09F-4497-81D6-45BF41A8B86A}"/>
              </c:ext>
            </c:extLst>
          </c:dPt>
          <c:dPt>
            <c:idx val="10"/>
            <c:bubble3D val="0"/>
            <c:extLst>
              <c:ext xmlns:c16="http://schemas.microsoft.com/office/drawing/2014/chart" uri="{C3380CC4-5D6E-409C-BE32-E72D297353CC}">
                <c16:uniqueId val="{00000007-467F-4787-8F0F-E38654B5C682}"/>
              </c:ext>
            </c:extLst>
          </c:dPt>
          <c:dLbls>
            <c:dLbl>
              <c:idx val="0"/>
              <c:layout>
                <c:manualLayout>
                  <c:x val="-0.11992942790864834"/>
                  <c:y val="-0.121132343392364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67F-4787-8F0F-E38654B5C682}"/>
                </c:ext>
              </c:extLst>
            </c:dLbl>
            <c:dLbl>
              <c:idx val="1"/>
              <c:layout>
                <c:manualLayout>
                  <c:x val="-8.0095403012382785E-2"/>
                  <c:y val="-0.3642117488499682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67F-4787-8F0F-E38654B5C682}"/>
                </c:ext>
              </c:extLst>
            </c:dLbl>
            <c:dLbl>
              <c:idx val="3"/>
              <c:layout>
                <c:manualLayout>
                  <c:x val="-0.11660992583395959"/>
                  <c:y val="-9.36139201330129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67F-4787-8F0F-E38654B5C682}"/>
                </c:ext>
              </c:extLst>
            </c:dLbl>
            <c:dLbl>
              <c:idx val="4"/>
              <c:layout>
                <c:manualLayout>
                  <c:x val="-0.11992942790864834"/>
                  <c:y val="-0.1348915550220400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67F-4787-8F0F-E38654B5C682}"/>
                </c:ext>
              </c:extLst>
            </c:dLbl>
            <c:dLbl>
              <c:idx val="7"/>
              <c:layout>
                <c:manualLayout>
                  <c:x val="-0.12024235263855439"/>
                  <c:y val="-0.1800228494474102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09F-4497-81D6-45BF41A8B86A}"/>
                </c:ext>
              </c:extLst>
            </c:dLbl>
            <c:dLbl>
              <c:idx val="10"/>
              <c:layout>
                <c:manualLayout>
                  <c:x val="-0.10098474205247165"/>
                  <c:y val="-0.1578235744048328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67F-4787-8F0F-E38654B5C682}"/>
                </c:ext>
              </c:extLst>
            </c:dLbl>
            <c:spPr>
              <a:noFill/>
              <a:ln>
                <a:noFill/>
              </a:ln>
              <a:effectLst/>
            </c:spPr>
            <c:txPr>
              <a:bodyPr rot="0" spcFirstLastPara="1" vertOverflow="ellipsis" vert="horz" wrap="non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5033-41CB-B36D-B26E4EA3CB29}"/>
            </c:ext>
          </c:extLst>
        </c:ser>
        <c:dLbls>
          <c:dLblPos val="t"/>
          <c:showLegendKey val="0"/>
          <c:showVal val="1"/>
          <c:showCatName val="0"/>
          <c:showSerName val="0"/>
          <c:showPercent val="0"/>
          <c:showBubbleSize val="0"/>
        </c:dLbls>
        <c:smooth val="0"/>
        <c:axId val="562671407"/>
        <c:axId val="562661327"/>
      </c:lineChart>
      <c:catAx>
        <c:axId val="562671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62661327"/>
        <c:crosses val="autoZero"/>
        <c:auto val="1"/>
        <c:lblAlgn val="ctr"/>
        <c:lblOffset val="100"/>
        <c:noMultiLvlLbl val="0"/>
      </c:catAx>
      <c:valAx>
        <c:axId val="562661327"/>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56267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12700">
        <a:srgbClr val="4B752F">
          <a:alpha val="0"/>
        </a:srgbClr>
      </a:glow>
      <a:outerShdw blurRad="12700" dir="5400000" sx="96000" sy="96000" algn="ctr" rotWithShape="0">
        <a:srgbClr val="4B752F">
          <a:alpha val="70000"/>
        </a:srgb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[TARGET ANALYSED DATA.xlsx]TOP 10 CUSTOMERS!PivotTable1</c:name>
    <c:fmtId val="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solidFill>
                  <a:srgbClr val="365422"/>
                </a:solidFill>
                <a:latin typeface="Arial" panose="020B0604020202020204" pitchFamily="34" charset="0"/>
                <a:cs typeface="Arial" panose="020B0604020202020204" pitchFamily="34" charset="0"/>
              </a:rPr>
              <a:t>Top</a:t>
            </a:r>
            <a:r>
              <a:rPr lang="en-US" sz="1200" b="1" baseline="0">
                <a:solidFill>
                  <a:srgbClr val="365422"/>
                </a:solidFill>
                <a:latin typeface="Arial" panose="020B0604020202020204" pitchFamily="34" charset="0"/>
                <a:cs typeface="Arial" panose="020B0604020202020204" pitchFamily="34" charset="0"/>
              </a:rPr>
              <a:t> 10 Customers </a:t>
            </a:r>
            <a:r>
              <a:rPr lang="en-US" sz="900" b="1" i="1" baseline="0">
                <a:solidFill>
                  <a:srgbClr val="365422"/>
                </a:solidFill>
                <a:latin typeface="Arial" panose="020B0604020202020204" pitchFamily="34" charset="0"/>
                <a:cs typeface="Arial" panose="020B0604020202020204" pitchFamily="34" charset="0"/>
              </a:rPr>
              <a:t>by Revenue</a:t>
            </a:r>
            <a:endParaRPr lang="en-US" sz="900" b="1" i="1">
              <a:solidFill>
                <a:srgbClr val="365422"/>
              </a:solidFill>
              <a:latin typeface="Arial" panose="020B0604020202020204" pitchFamily="34" charset="0"/>
              <a:cs typeface="Arial" panose="020B0604020202020204" pitchFamily="34" charset="0"/>
            </a:endParaRPr>
          </a:p>
        </c:rich>
      </c:tx>
      <c:layout>
        <c:manualLayout>
          <c:xMode val="edge"/>
          <c:yMode val="edge"/>
          <c:x val="2.5115847585959136E-2"/>
          <c:y val="3.2455016344852108E-2"/>
        </c:manualLayout>
      </c:layout>
      <c:overlay val="0"/>
      <c:spPr>
        <a:noFill/>
        <a:ln>
          <a:noFill/>
        </a:ln>
        <a:effectLst/>
      </c:sp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4B75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4B752F"/>
            </a:solidFill>
            <a:round/>
          </a:ln>
          <a:effectLst/>
        </c:spPr>
        <c:marker>
          <c:symbol val="none"/>
        </c:marker>
        <c:dLbl>
          <c:idx val="0"/>
          <c:layout>
            <c:manualLayout>
              <c:x val="0.12765968140365347"/>
              <c:y val="-0.105906313645621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4B752F"/>
            </a:solidFill>
            <a:round/>
          </a:ln>
          <a:effectLst/>
        </c:spPr>
        <c:marker>
          <c:symbol val="none"/>
        </c:marker>
        <c:dLbl>
          <c:idx val="0"/>
          <c:layout>
            <c:manualLayout>
              <c:x val="-8.2978792912374741E-2"/>
              <c:y val="0.146639511201629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4B752F"/>
            </a:solidFill>
            <a:round/>
          </a:ln>
          <a:effectLst/>
        </c:spPr>
        <c:marker>
          <c:symbol val="none"/>
        </c:marker>
        <c:dLbl>
          <c:idx val="0"/>
          <c:layout>
            <c:manualLayout>
              <c:x val="2.978725899418579E-2"/>
              <c:y val="0.175152749490835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4B752F"/>
            </a:solidFill>
            <a:round/>
          </a:ln>
          <a:effectLst/>
        </c:spPr>
        <c:marker>
          <c:symbol val="none"/>
        </c:marker>
        <c:dLbl>
          <c:idx val="0"/>
          <c:layout>
            <c:manualLayout>
              <c:x val="8.7234115625829806E-2"/>
              <c:y val="7.33197556008146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4B752F"/>
            </a:solidFill>
            <a:round/>
          </a:ln>
          <a:effectLst/>
        </c:spPr>
        <c:marker>
          <c:symbol val="none"/>
        </c:marker>
        <c:dLbl>
          <c:idx val="0"/>
          <c:layout>
            <c:manualLayout>
              <c:x val="-9.5744761052740032E-2"/>
              <c:y val="-2.44399185336048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4B752F"/>
            </a:solidFill>
            <a:round/>
          </a:ln>
          <a:effectLst/>
        </c:spPr>
        <c:marker>
          <c:symbol val="none"/>
        </c:marker>
        <c:dLbl>
          <c:idx val="0"/>
          <c:layout>
            <c:manualLayout>
              <c:x val="0.127659681403653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4B752F"/>
            </a:solidFill>
            <a:round/>
          </a:ln>
          <a:effectLst/>
        </c:spPr>
        <c:marker>
          <c:symbol val="none"/>
        </c:marker>
        <c:dLbl>
          <c:idx val="0"/>
          <c:layout>
            <c:manualLayout>
              <c:x val="8.7234115625829806E-2"/>
              <c:y val="-0.175152749490835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4B752F"/>
            </a:solidFill>
            <a:round/>
          </a:ln>
          <a:effectLst/>
        </c:spPr>
        <c:marker>
          <c:symbol val="none"/>
        </c:marker>
        <c:dLbl>
          <c:idx val="0"/>
          <c:layout>
            <c:manualLayout>
              <c:x val="-2.1276613567275562E-3"/>
              <c:y val="-0.244399185336048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4B752F"/>
            </a:solidFill>
            <a:round/>
          </a:ln>
          <a:effectLst/>
        </c:spPr>
        <c:marker>
          <c:symbol val="none"/>
        </c:marker>
        <c:dLbl>
          <c:idx val="0"/>
          <c:layout>
            <c:manualLayout>
              <c:x val="-5.7446856631644019E-2"/>
              <c:y val="-6.51731160896130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4B75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4B752F"/>
            </a:solidFill>
            <a:round/>
          </a:ln>
          <a:effectLst/>
        </c:spPr>
        <c:marker>
          <c:symbol val="none"/>
        </c:marker>
        <c:dLbl>
          <c:idx val="0"/>
          <c:layout>
            <c:manualLayout>
              <c:x val="-2.1276613567275562E-3"/>
              <c:y val="-0.244399185336048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4B752F"/>
            </a:solidFill>
            <a:round/>
          </a:ln>
          <a:effectLst/>
        </c:spPr>
        <c:marker>
          <c:symbol val="none"/>
        </c:marker>
        <c:dLbl>
          <c:idx val="0"/>
          <c:layout>
            <c:manualLayout>
              <c:x val="8.7234115625829806E-2"/>
              <c:y val="-0.175152749490835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4B752F"/>
            </a:solidFill>
            <a:round/>
          </a:ln>
          <a:effectLst/>
        </c:spPr>
        <c:marker>
          <c:symbol val="none"/>
        </c:marker>
        <c:dLbl>
          <c:idx val="0"/>
          <c:layout>
            <c:manualLayout>
              <c:x val="0.12765968140365347"/>
              <c:y val="-0.105906313645621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4B752F"/>
            </a:solidFill>
            <a:round/>
          </a:ln>
          <a:effectLst/>
        </c:spPr>
        <c:marker>
          <c:symbol val="none"/>
        </c:marker>
        <c:dLbl>
          <c:idx val="0"/>
          <c:layout>
            <c:manualLayout>
              <c:x val="0.1276596814036532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4B752F"/>
            </a:solidFill>
            <a:round/>
          </a:ln>
          <a:effectLst/>
        </c:spPr>
        <c:marker>
          <c:symbol val="none"/>
        </c:marker>
        <c:dLbl>
          <c:idx val="0"/>
          <c:layout>
            <c:manualLayout>
              <c:x val="8.7234115625829806E-2"/>
              <c:y val="7.33197556008146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4B752F"/>
            </a:solidFill>
            <a:round/>
          </a:ln>
          <a:effectLst/>
        </c:spPr>
        <c:marker>
          <c:symbol val="none"/>
        </c:marker>
        <c:dLbl>
          <c:idx val="0"/>
          <c:layout>
            <c:manualLayout>
              <c:x val="2.978725899418579E-2"/>
              <c:y val="0.175152749490835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4B752F"/>
            </a:solidFill>
            <a:round/>
          </a:ln>
          <a:effectLst/>
        </c:spPr>
        <c:marker>
          <c:symbol val="none"/>
        </c:marker>
        <c:dLbl>
          <c:idx val="0"/>
          <c:layout>
            <c:manualLayout>
              <c:x val="-8.2978792912374741E-2"/>
              <c:y val="0.146639511201629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4B752F"/>
            </a:solidFill>
            <a:round/>
          </a:ln>
          <a:effectLst/>
        </c:spPr>
        <c:marker>
          <c:symbol val="none"/>
        </c:marker>
        <c:dLbl>
          <c:idx val="0"/>
          <c:layout>
            <c:manualLayout>
              <c:x val="-9.5744761052740032E-2"/>
              <c:y val="-2.44399185336048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4B752F"/>
            </a:solidFill>
            <a:round/>
          </a:ln>
          <a:effectLst/>
        </c:spPr>
        <c:marker>
          <c:symbol val="none"/>
        </c:marker>
        <c:dLbl>
          <c:idx val="0"/>
          <c:layout>
            <c:manualLayout>
              <c:x val="-5.7446856631644019E-2"/>
              <c:y val="-6.51731160896130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rgbClr val="4B752F"/>
            </a:solidFill>
            <a:round/>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2"/>
        <c:spPr>
          <a:ln w="28575" cap="rnd">
            <a:solidFill>
              <a:srgbClr val="4B752F"/>
            </a:solidFill>
            <a:round/>
          </a:ln>
          <a:effectLst/>
        </c:spPr>
        <c:marker>
          <c:symbol val="none"/>
        </c:marker>
        <c:dLbl>
          <c:idx val="0"/>
          <c:layout>
            <c:manualLayout>
              <c:x val="-2.1275807879779667E-3"/>
              <c:y val="-0.24911140938041673"/>
            </c:manualLayout>
          </c:layout>
          <c:spPr>
            <a:noFill/>
            <a:ln>
              <a:noFill/>
            </a:ln>
            <a:effectLst/>
          </c:spPr>
          <c:txPr>
            <a:bodyPr rot="0" spcFirstLastPara="1" vertOverflow="ellipsis" vert="horz" wrap="non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3"/>
        <c:spPr>
          <a:ln w="28575" cap="rnd">
            <a:solidFill>
              <a:srgbClr val="4B752F"/>
            </a:solidFill>
            <a:round/>
          </a:ln>
          <a:effectLst/>
        </c:spPr>
        <c:marker>
          <c:symbol val="none"/>
        </c:marker>
        <c:dLbl>
          <c:idx val="0"/>
          <c:layout>
            <c:manualLayout>
              <c:x val="0.14056745909709972"/>
              <c:y val="-0.17972422387345702"/>
            </c:manualLayout>
          </c:layout>
          <c:spPr>
            <a:noFill/>
            <a:ln>
              <a:noFill/>
            </a:ln>
            <a:effectLst/>
          </c:spPr>
          <c:txPr>
            <a:bodyPr rot="0" spcFirstLastPara="1" vertOverflow="ellipsis" vert="horz" wrap="non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4"/>
        <c:spPr>
          <a:ln w="28575" cap="rnd">
            <a:solidFill>
              <a:srgbClr val="4B752F"/>
            </a:solidFill>
            <a:round/>
          </a:ln>
          <a:effectLst/>
        </c:spPr>
        <c:marker>
          <c:symbol val="none"/>
        </c:marker>
        <c:dLbl>
          <c:idx val="0"/>
          <c:layout>
            <c:manualLayout>
              <c:x val="0.18099291128379932"/>
              <c:y val="-0.1104778298153106"/>
            </c:manualLayout>
          </c:layout>
          <c:spPr>
            <a:noFill/>
            <a:ln>
              <a:noFill/>
            </a:ln>
            <a:effectLst/>
          </c:spPr>
          <c:txPr>
            <a:bodyPr rot="0" spcFirstLastPara="1" vertOverflow="ellipsis" vert="horz" wrap="non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5"/>
        <c:spPr>
          <a:ln w="28575" cap="rnd">
            <a:solidFill>
              <a:srgbClr val="4B752F"/>
            </a:solidFill>
            <a:round/>
          </a:ln>
          <a:effectLst/>
        </c:spPr>
        <c:marker>
          <c:symbol val="none"/>
        </c:marker>
        <c:dLbl>
          <c:idx val="0"/>
          <c:layout>
            <c:manualLayout>
              <c:x val="0.21381343470654052"/>
              <c:y val="-2.2857159312240843E-2"/>
            </c:manualLayout>
          </c:layout>
          <c:spPr>
            <a:noFill/>
            <a:ln>
              <a:noFill/>
            </a:ln>
            <a:effectLst/>
          </c:spPr>
          <c:txPr>
            <a:bodyPr rot="0" spcFirstLastPara="1" vertOverflow="ellipsis" vert="horz" wrap="non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6"/>
        <c:spPr>
          <a:ln w="28575" cap="rnd">
            <a:solidFill>
              <a:srgbClr val="4B752F"/>
            </a:solidFill>
            <a:round/>
          </a:ln>
          <a:effectLst/>
        </c:spPr>
        <c:marker>
          <c:symbol val="none"/>
        </c:marker>
        <c:dLbl>
          <c:idx val="0"/>
          <c:layout>
            <c:manualLayout>
              <c:x val="0.12825976281357168"/>
              <c:y val="5.5033920384374546E-2"/>
            </c:manualLayout>
          </c:layout>
          <c:spPr>
            <a:noFill/>
            <a:ln>
              <a:noFill/>
            </a:ln>
            <a:effectLst/>
          </c:spPr>
          <c:txPr>
            <a:bodyPr rot="0" spcFirstLastPara="1" vertOverflow="ellipsis" vert="horz" wrap="non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7"/>
        <c:spPr>
          <a:ln w="28575" cap="rnd">
            <a:solidFill>
              <a:srgbClr val="4B752F"/>
            </a:solidFill>
            <a:round/>
          </a:ln>
          <a:effectLst/>
        </c:spPr>
        <c:marker>
          <c:symbol val="none"/>
        </c:marker>
        <c:dLbl>
          <c:idx val="0"/>
          <c:layout>
            <c:manualLayout>
              <c:x val="-2.0658193630751021E-3"/>
              <c:y val="9.620920312023605E-2"/>
            </c:manualLayout>
          </c:layout>
          <c:spPr>
            <a:noFill/>
            <a:ln>
              <a:noFill/>
            </a:ln>
            <a:effectLst/>
          </c:spPr>
          <c:txPr>
            <a:bodyPr rot="0" spcFirstLastPara="1" vertOverflow="ellipsis" vert="horz" wrap="non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8"/>
        <c:spPr>
          <a:ln w="28575" cap="rnd">
            <a:solidFill>
              <a:srgbClr val="4B752F"/>
            </a:solidFill>
            <a:round/>
          </a:ln>
          <a:effectLst/>
        </c:spPr>
        <c:marker>
          <c:symbol val="none"/>
        </c:marker>
        <c:dLbl>
          <c:idx val="0"/>
          <c:layout>
            <c:manualLayout>
              <c:x val="-9.5230001304216674E-2"/>
              <c:y val="3.6925290924843694E-2"/>
            </c:manualLayout>
          </c:layout>
          <c:spPr>
            <a:noFill/>
            <a:ln>
              <a:noFill/>
            </a:ln>
            <a:effectLst/>
          </c:spPr>
          <c:txPr>
            <a:bodyPr rot="0" spcFirstLastPara="1" vertOverflow="ellipsis" vert="horz" wrap="non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9"/>
        <c:spPr>
          <a:ln w="28575" cap="rnd">
            <a:solidFill>
              <a:srgbClr val="4B752F"/>
            </a:solidFill>
            <a:round/>
          </a:ln>
          <a:effectLst/>
        </c:spPr>
        <c:marker>
          <c:symbol val="none"/>
        </c:marker>
        <c:dLbl>
          <c:idx val="0"/>
          <c:layout>
            <c:manualLayout>
              <c:x val="-9.5744832059707505E-2"/>
              <c:y val="-6.1011337510974137E-2"/>
            </c:manualLayout>
          </c:layout>
          <c:spPr>
            <a:noFill/>
            <a:ln>
              <a:noFill/>
            </a:ln>
            <a:effectLst/>
          </c:spPr>
          <c:txPr>
            <a:bodyPr rot="0" spcFirstLastPara="1" vertOverflow="ellipsis" vert="horz" wrap="non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0"/>
        <c:spPr>
          <a:ln w="28575" cap="rnd">
            <a:solidFill>
              <a:srgbClr val="4B752F"/>
            </a:solidFill>
            <a:round/>
          </a:ln>
          <a:effectLst/>
        </c:spPr>
        <c:marker>
          <c:symbol val="none"/>
        </c:marker>
        <c:dLbl>
          <c:idx val="0"/>
          <c:layout>
            <c:manualLayout>
              <c:x val="-5.7446856631644019E-2"/>
              <c:y val="-6.5173116089613001E-2"/>
            </c:manualLayout>
          </c:layout>
          <c:spPr>
            <a:noFill/>
            <a:ln>
              <a:noFill/>
            </a:ln>
            <a:effectLst/>
          </c:spPr>
          <c:txPr>
            <a:bodyPr rot="0" spcFirstLastPara="1" vertOverflow="ellipsis" vert="horz" wrap="non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1"/>
        <c:spPr>
          <a:ln w="28575" cap="rnd">
            <a:solidFill>
              <a:srgbClr val="4B752F"/>
            </a:solidFill>
            <a:round/>
          </a:ln>
          <a:effectLst/>
        </c:spPr>
        <c:marker>
          <c:symbol val="none"/>
        </c:marker>
        <c:dLbl>
          <c:idx val="0"/>
          <c:layout>
            <c:manualLayout>
              <c:x val="-7.1430195536043184E-2"/>
              <c:y val="-5.0482884806639636E-2"/>
            </c:manualLayout>
          </c:layout>
          <c:spPr>
            <a:noFill/>
            <a:ln>
              <a:noFill/>
            </a:ln>
            <a:effectLst/>
          </c:spPr>
          <c:txPr>
            <a:bodyPr rot="0" spcFirstLastPara="1" vertOverflow="ellipsis" vert="horz" wrap="non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22185470474700628"/>
          <c:y val="0.23551297044803271"/>
          <c:w val="0.56560127381997227"/>
          <c:h val="0.63063966210739575"/>
        </c:manualLayout>
      </c:layout>
      <c:radarChart>
        <c:radarStyle val="marker"/>
        <c:varyColors val="0"/>
        <c:ser>
          <c:idx val="0"/>
          <c:order val="0"/>
          <c:tx>
            <c:strRef>
              <c:f>'TOP 10 CUSTOMERS'!$B$3</c:f>
              <c:strCache>
                <c:ptCount val="1"/>
                <c:pt idx="0">
                  <c:v>Total</c:v>
                </c:pt>
              </c:strCache>
            </c:strRef>
          </c:tx>
          <c:spPr>
            <a:ln w="28575" cap="rnd">
              <a:solidFill>
                <a:srgbClr val="4B752F"/>
              </a:solidFill>
              <a:round/>
            </a:ln>
            <a:effectLst/>
          </c:spPr>
          <c:marker>
            <c:symbol val="none"/>
          </c:marker>
          <c:dPt>
            <c:idx val="0"/>
            <c:bubble3D val="0"/>
            <c:extLst>
              <c:ext xmlns:c16="http://schemas.microsoft.com/office/drawing/2014/chart" uri="{C3380CC4-5D6E-409C-BE32-E72D297353CC}">
                <c16:uniqueId val="{00000001-EB32-4C3F-A4FD-CB6E58B26B0A}"/>
              </c:ext>
            </c:extLst>
          </c:dPt>
          <c:dPt>
            <c:idx val="1"/>
            <c:bubble3D val="0"/>
            <c:extLst>
              <c:ext xmlns:c16="http://schemas.microsoft.com/office/drawing/2014/chart" uri="{C3380CC4-5D6E-409C-BE32-E72D297353CC}">
                <c16:uniqueId val="{00000003-EB32-4C3F-A4FD-CB6E58B26B0A}"/>
              </c:ext>
            </c:extLst>
          </c:dPt>
          <c:dPt>
            <c:idx val="2"/>
            <c:bubble3D val="0"/>
            <c:extLst>
              <c:ext xmlns:c16="http://schemas.microsoft.com/office/drawing/2014/chart" uri="{C3380CC4-5D6E-409C-BE32-E72D297353CC}">
                <c16:uniqueId val="{00000005-EB32-4C3F-A4FD-CB6E58B26B0A}"/>
              </c:ext>
            </c:extLst>
          </c:dPt>
          <c:dPt>
            <c:idx val="3"/>
            <c:bubble3D val="0"/>
            <c:extLst>
              <c:ext xmlns:c16="http://schemas.microsoft.com/office/drawing/2014/chart" uri="{C3380CC4-5D6E-409C-BE32-E72D297353CC}">
                <c16:uniqueId val="{00000007-EB32-4C3F-A4FD-CB6E58B26B0A}"/>
              </c:ext>
            </c:extLst>
          </c:dPt>
          <c:dPt>
            <c:idx val="4"/>
            <c:bubble3D val="0"/>
            <c:extLst>
              <c:ext xmlns:c16="http://schemas.microsoft.com/office/drawing/2014/chart" uri="{C3380CC4-5D6E-409C-BE32-E72D297353CC}">
                <c16:uniqueId val="{00000009-EB32-4C3F-A4FD-CB6E58B26B0A}"/>
              </c:ext>
            </c:extLst>
          </c:dPt>
          <c:dPt>
            <c:idx val="5"/>
            <c:bubble3D val="0"/>
            <c:extLst>
              <c:ext xmlns:c16="http://schemas.microsoft.com/office/drawing/2014/chart" uri="{C3380CC4-5D6E-409C-BE32-E72D297353CC}">
                <c16:uniqueId val="{0000000B-EB32-4C3F-A4FD-CB6E58B26B0A}"/>
              </c:ext>
            </c:extLst>
          </c:dPt>
          <c:dPt>
            <c:idx val="6"/>
            <c:bubble3D val="0"/>
            <c:extLst>
              <c:ext xmlns:c16="http://schemas.microsoft.com/office/drawing/2014/chart" uri="{C3380CC4-5D6E-409C-BE32-E72D297353CC}">
                <c16:uniqueId val="{0000000D-EB32-4C3F-A4FD-CB6E58B26B0A}"/>
              </c:ext>
            </c:extLst>
          </c:dPt>
          <c:dPt>
            <c:idx val="7"/>
            <c:bubble3D val="0"/>
            <c:extLst>
              <c:ext xmlns:c16="http://schemas.microsoft.com/office/drawing/2014/chart" uri="{C3380CC4-5D6E-409C-BE32-E72D297353CC}">
                <c16:uniqueId val="{0000000F-EB32-4C3F-A4FD-CB6E58B26B0A}"/>
              </c:ext>
            </c:extLst>
          </c:dPt>
          <c:dPt>
            <c:idx val="8"/>
            <c:bubble3D val="0"/>
            <c:extLst>
              <c:ext xmlns:c16="http://schemas.microsoft.com/office/drawing/2014/chart" uri="{C3380CC4-5D6E-409C-BE32-E72D297353CC}">
                <c16:uniqueId val="{00000011-EB32-4C3F-A4FD-CB6E58B26B0A}"/>
              </c:ext>
            </c:extLst>
          </c:dPt>
          <c:dPt>
            <c:idx val="9"/>
            <c:bubble3D val="0"/>
            <c:extLst>
              <c:ext xmlns:c16="http://schemas.microsoft.com/office/drawing/2014/chart" uri="{C3380CC4-5D6E-409C-BE32-E72D297353CC}">
                <c16:uniqueId val="{00000012-82B8-45E1-8D8D-CE2E78348449}"/>
              </c:ext>
            </c:extLst>
          </c:dPt>
          <c:dLbls>
            <c:dLbl>
              <c:idx val="0"/>
              <c:layout>
                <c:manualLayout>
                  <c:x val="-2.1275807879779667E-3"/>
                  <c:y val="-0.2491114093804167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32-4C3F-A4FD-CB6E58B26B0A}"/>
                </c:ext>
              </c:extLst>
            </c:dLbl>
            <c:dLbl>
              <c:idx val="1"/>
              <c:layout>
                <c:manualLayout>
                  <c:x val="0.14056745909709972"/>
                  <c:y val="-0.179724223873457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32-4C3F-A4FD-CB6E58B26B0A}"/>
                </c:ext>
              </c:extLst>
            </c:dLbl>
            <c:dLbl>
              <c:idx val="2"/>
              <c:layout>
                <c:manualLayout>
                  <c:x val="0.18099291128379932"/>
                  <c:y val="-0.11047782981531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32-4C3F-A4FD-CB6E58B26B0A}"/>
                </c:ext>
              </c:extLst>
            </c:dLbl>
            <c:dLbl>
              <c:idx val="3"/>
              <c:layout>
                <c:manualLayout>
                  <c:x val="0.21381343470654052"/>
                  <c:y val="-2.28571593122408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B32-4C3F-A4FD-CB6E58B26B0A}"/>
                </c:ext>
              </c:extLst>
            </c:dLbl>
            <c:dLbl>
              <c:idx val="4"/>
              <c:layout>
                <c:manualLayout>
                  <c:x val="0.12825976281357168"/>
                  <c:y val="5.50339203843745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B32-4C3F-A4FD-CB6E58B26B0A}"/>
                </c:ext>
              </c:extLst>
            </c:dLbl>
            <c:dLbl>
              <c:idx val="5"/>
              <c:layout>
                <c:manualLayout>
                  <c:x val="-2.0658193630751021E-3"/>
                  <c:y val="9.6209203120236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B32-4C3F-A4FD-CB6E58B26B0A}"/>
                </c:ext>
              </c:extLst>
            </c:dLbl>
            <c:dLbl>
              <c:idx val="6"/>
              <c:layout>
                <c:manualLayout>
                  <c:x val="-9.5230001304216674E-2"/>
                  <c:y val="3.69252909248436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B32-4C3F-A4FD-CB6E58B26B0A}"/>
                </c:ext>
              </c:extLst>
            </c:dLbl>
            <c:dLbl>
              <c:idx val="7"/>
              <c:layout>
                <c:manualLayout>
                  <c:x val="-9.5744832059707505E-2"/>
                  <c:y val="-6.10113375109741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B32-4C3F-A4FD-CB6E58B26B0A}"/>
                </c:ext>
              </c:extLst>
            </c:dLbl>
            <c:dLbl>
              <c:idx val="8"/>
              <c:layout>
                <c:manualLayout>
                  <c:x val="-5.7446856631644019E-2"/>
                  <c:y val="-6.51731160896130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B32-4C3F-A4FD-CB6E58B26B0A}"/>
                </c:ext>
              </c:extLst>
            </c:dLbl>
            <c:dLbl>
              <c:idx val="9"/>
              <c:layout>
                <c:manualLayout>
                  <c:x val="-7.1430195536043184E-2"/>
                  <c:y val="-5.04828848066396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2B8-45E1-8D8D-CE2E78348449}"/>
                </c:ext>
              </c:extLst>
            </c:dLbl>
            <c:spPr>
              <a:noFill/>
              <a:ln>
                <a:noFill/>
              </a:ln>
              <a:effectLst/>
            </c:spPr>
            <c:txPr>
              <a:bodyPr rot="0" spcFirstLastPara="1" vertOverflow="ellipsis" vert="horz" wrap="non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Company K</c:v>
                </c:pt>
                <c:pt idx="1">
                  <c:v>Company C</c:v>
                </c:pt>
                <c:pt idx="2">
                  <c:v>Company Z</c:v>
                </c:pt>
                <c:pt idx="3">
                  <c:v>Company J</c:v>
                </c:pt>
                <c:pt idx="4">
                  <c:v>Company I</c:v>
                </c:pt>
                <c:pt idx="5">
                  <c:v>Company A</c:v>
                </c:pt>
                <c:pt idx="6">
                  <c:v>Company F</c:v>
                </c:pt>
                <c:pt idx="7">
                  <c:v>Company BB</c:v>
                </c:pt>
                <c:pt idx="8">
                  <c:v>Company H</c:v>
                </c:pt>
                <c:pt idx="9">
                  <c:v>Company D</c:v>
                </c:pt>
              </c:strCache>
            </c:strRef>
          </c:cat>
          <c:val>
            <c:numRef>
              <c:f>'TOP 10 CUSTOMERS'!$B$4:$B$14</c:f>
              <c:numCache>
                <c:formatCode>"$"#,##0.00</c:formatCode>
                <c:ptCount val="10"/>
                <c:pt idx="0">
                  <c:v>21937.08</c:v>
                </c:pt>
                <c:pt idx="1">
                  <c:v>27005.38</c:v>
                </c:pt>
                <c:pt idx="2">
                  <c:v>28208.250000000007</c:v>
                </c:pt>
                <c:pt idx="3">
                  <c:v>29133.009999999995</c:v>
                </c:pt>
                <c:pt idx="4">
                  <c:v>32530.6</c:v>
                </c:pt>
                <c:pt idx="5">
                  <c:v>36839.990000000005</c:v>
                </c:pt>
                <c:pt idx="6">
                  <c:v>37428</c:v>
                </c:pt>
                <c:pt idx="7">
                  <c:v>43713</c:v>
                </c:pt>
                <c:pt idx="8">
                  <c:v>50208.35</c:v>
                </c:pt>
                <c:pt idx="9">
                  <c:v>67180.5</c:v>
                </c:pt>
              </c:numCache>
            </c:numRef>
          </c:val>
          <c:extLst>
            <c:ext xmlns:c16="http://schemas.microsoft.com/office/drawing/2014/chart" uri="{C3380CC4-5D6E-409C-BE32-E72D297353CC}">
              <c16:uniqueId val="{00000012-EB32-4C3F-A4FD-CB6E58B26B0A}"/>
            </c:ext>
          </c:extLst>
        </c:ser>
        <c:dLbls>
          <c:showLegendKey val="0"/>
          <c:showVal val="1"/>
          <c:showCatName val="0"/>
          <c:showSerName val="0"/>
          <c:showPercent val="0"/>
          <c:showBubbleSize val="0"/>
        </c:dLbls>
        <c:axId val="562671407"/>
        <c:axId val="562661327"/>
      </c:radarChart>
      <c:catAx>
        <c:axId val="562671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661327"/>
        <c:crosses val="autoZero"/>
        <c:auto val="1"/>
        <c:lblAlgn val="ctr"/>
        <c:lblOffset val="100"/>
        <c:noMultiLvlLbl val="0"/>
      </c:catAx>
      <c:valAx>
        <c:axId val="562661327"/>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56267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glow rad="12700">
        <a:srgbClr val="4B752F">
          <a:alpha val="0"/>
        </a:srgbClr>
      </a:glow>
      <a:outerShdw blurRad="12700" dir="5400000" sx="96000" sy="96000" algn="ctr" rotWithShape="0">
        <a:srgbClr val="4B752F">
          <a:alpha val="70000"/>
        </a:srgbClr>
      </a:outerShdw>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[TARGET ANALYSED DATA.xlsx]SALES TREND REPORT!PivotTable1</c:name>
    <c:fmtId val="3"/>
  </c:pivotSource>
  <c:chart>
    <c:autoTitleDeleted val="1"/>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4B75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4B752F"/>
            </a:solidFill>
            <a:round/>
          </a:ln>
          <a:effectLst/>
        </c:spPr>
        <c:marker>
          <c:symbol val="none"/>
        </c:marker>
      </c:pivotFmt>
      <c:pivotFmt>
        <c:idx val="4"/>
        <c:spPr>
          <a:solidFill>
            <a:schemeClr val="accent1"/>
          </a:solidFill>
          <a:ln w="25400" cap="rnd">
            <a:solidFill>
              <a:srgbClr val="4B752F"/>
            </a:solidFill>
            <a:round/>
          </a:ln>
          <a:effectLst/>
        </c:spPr>
        <c:marker>
          <c:symbol val="none"/>
        </c:marker>
        <c:dLbl>
          <c:idx val="0"/>
          <c:layout>
            <c:manualLayout>
              <c:x val="-0.12024235263855439"/>
              <c:y val="-0.180022849447410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6350" cap="rnd">
            <a:solidFill>
              <a:schemeClr val="bg1"/>
            </a:solidFill>
            <a:round/>
          </a:ln>
          <a:effectLst/>
        </c:spPr>
        <c:marker>
          <c:symbol val="none"/>
        </c:marker>
      </c:pivotFmt>
      <c:pivotFmt>
        <c:idx val="7"/>
        <c:spPr>
          <a:ln w="6350" cap="rnd">
            <a:solidFill>
              <a:schemeClr val="bg1"/>
            </a:solidFill>
            <a:round/>
          </a:ln>
          <a:effectLst/>
        </c:spPr>
        <c:marker>
          <c:symbol val="none"/>
        </c:marker>
      </c:pivotFmt>
    </c:pivotFmts>
    <c:plotArea>
      <c:layout>
        <c:manualLayout>
          <c:layoutTarget val="inner"/>
          <c:xMode val="edge"/>
          <c:yMode val="edge"/>
          <c:x val="0.16157549537077096"/>
          <c:y val="7.4706368607412065E-4"/>
          <c:w val="0.74189841654408584"/>
          <c:h val="0.6801639119614179"/>
        </c:manualLayout>
      </c:layout>
      <c:lineChart>
        <c:grouping val="standard"/>
        <c:varyColors val="0"/>
        <c:ser>
          <c:idx val="0"/>
          <c:order val="0"/>
          <c:tx>
            <c:strRef>
              <c:f>'SALES TREND REPORT'!$B$3</c:f>
              <c:strCache>
                <c:ptCount val="1"/>
                <c:pt idx="0">
                  <c:v>Total</c:v>
                </c:pt>
              </c:strCache>
            </c:strRef>
          </c:tx>
          <c:spPr>
            <a:ln w="6350" cap="rnd">
              <a:solidFill>
                <a:schemeClr val="bg1"/>
              </a:solidFill>
              <a:round/>
            </a:ln>
            <a:effectLst/>
          </c:spPr>
          <c:marker>
            <c:symbol val="none"/>
          </c:marker>
          <c:dPt>
            <c:idx val="5"/>
            <c:marker>
              <c:symbol val="none"/>
            </c:marker>
            <c:bubble3D val="0"/>
            <c:spPr>
              <a:ln w="6350" cap="rnd">
                <a:solidFill>
                  <a:schemeClr val="bg1"/>
                </a:solidFill>
                <a:round/>
              </a:ln>
              <a:effectLst/>
            </c:spPr>
            <c:extLst>
              <c:ext xmlns:c16="http://schemas.microsoft.com/office/drawing/2014/chart" uri="{C3380CC4-5D6E-409C-BE32-E72D297353CC}">
                <c16:uniqueId val="{00000001-5033-41CB-B36D-B26E4EA3CB29}"/>
              </c:ext>
            </c:extLst>
          </c:dPt>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5033-41CB-B36D-B26E4EA3CB29}"/>
            </c:ext>
          </c:extLst>
        </c:ser>
        <c:dLbls>
          <c:showLegendKey val="0"/>
          <c:showVal val="0"/>
          <c:showCatName val="0"/>
          <c:showSerName val="0"/>
          <c:showPercent val="0"/>
          <c:showBubbleSize val="0"/>
        </c:dLbls>
        <c:smooth val="0"/>
        <c:axId val="562671407"/>
        <c:axId val="562661327"/>
      </c:lineChart>
      <c:catAx>
        <c:axId val="562671407"/>
        <c:scaling>
          <c:orientation val="minMax"/>
        </c:scaling>
        <c:delete val="1"/>
        <c:axPos val="b"/>
        <c:numFmt formatCode="General" sourceLinked="1"/>
        <c:majorTickMark val="none"/>
        <c:minorTickMark val="none"/>
        <c:tickLblPos val="nextTo"/>
        <c:crossAx val="562661327"/>
        <c:crosses val="autoZero"/>
        <c:auto val="1"/>
        <c:lblAlgn val="ctr"/>
        <c:lblOffset val="100"/>
        <c:noMultiLvlLbl val="0"/>
      </c:catAx>
      <c:valAx>
        <c:axId val="562661327"/>
        <c:scaling>
          <c:orientation val="minMax"/>
        </c:scaling>
        <c:delete val="1"/>
        <c:axPos val="l"/>
        <c:numFmt formatCode="&quot;$&quot;#,##0.00" sourceLinked="1"/>
        <c:majorTickMark val="none"/>
        <c:minorTickMark val="none"/>
        <c:tickLblPos val="nextTo"/>
        <c:crossAx val="56267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rgbClr val="4B752F"/>
      </a:glow>
      <a:outerShdw blurRad="50800" dist="50800" dir="11400000" sx="1000" sy="1000" algn="ctr" rotWithShape="0">
        <a:srgbClr val="4B752F"/>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[TARGET ANALYSED DATA.xlsx]SALES TREND REPORT!PivotTable1</c:name>
    <c:fmtId val="5"/>
  </c:pivotSource>
  <c:chart>
    <c:autoTitleDeleted val="1"/>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4B75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4B752F"/>
            </a:solidFill>
            <a:round/>
          </a:ln>
          <a:effectLst/>
        </c:spPr>
        <c:marker>
          <c:symbol val="none"/>
        </c:marker>
      </c:pivotFmt>
      <c:pivotFmt>
        <c:idx val="4"/>
        <c:spPr>
          <a:solidFill>
            <a:schemeClr val="accent1"/>
          </a:solidFill>
          <a:ln w="25400" cap="rnd">
            <a:solidFill>
              <a:srgbClr val="4B752F"/>
            </a:solidFill>
            <a:round/>
          </a:ln>
          <a:effectLst/>
        </c:spPr>
        <c:marker>
          <c:symbol val="none"/>
        </c:marker>
        <c:dLbl>
          <c:idx val="0"/>
          <c:layout>
            <c:manualLayout>
              <c:x val="-0.12024235263855439"/>
              <c:y val="-0.180022849447410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solidFill>
              <a:srgbClr val="4B752F"/>
            </a:solidFill>
            <a:round/>
          </a:ln>
          <a:effectLst/>
        </c:spPr>
        <c:marker>
          <c:symbol val="none"/>
        </c:marker>
      </c:pivotFmt>
      <c:pivotFmt>
        <c:idx val="6"/>
        <c:spPr>
          <a:solidFill>
            <a:schemeClr val="accent1"/>
          </a:solidFill>
          <a:ln w="25400" cap="rnd">
            <a:solidFill>
              <a:srgbClr val="4B752F"/>
            </a:solidFill>
            <a:round/>
          </a:ln>
          <a:effectLst/>
        </c:spPr>
        <c:marker>
          <c:symbol val="none"/>
        </c:marker>
      </c:pivotFmt>
      <c:pivotFmt>
        <c:idx val="7"/>
        <c:spPr>
          <a:solidFill>
            <a:schemeClr val="accent1"/>
          </a:solidFill>
          <a:ln w="25400" cap="rnd">
            <a:solidFill>
              <a:srgbClr val="4B752F"/>
            </a:solidFill>
            <a:round/>
          </a:ln>
          <a:effectLst/>
        </c:spPr>
        <c:marker>
          <c:symbol val="none"/>
        </c:marker>
      </c:pivotFmt>
      <c:pivotFmt>
        <c:idx val="8"/>
        <c:spPr>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6350" cap="rnd">
            <a:solidFill>
              <a:schemeClr val="bg1"/>
            </a:solidFill>
            <a:round/>
          </a:ln>
          <a:effectLst/>
        </c:spPr>
        <c:marker>
          <c:symbol val="none"/>
        </c:marker>
      </c:pivotFmt>
    </c:pivotFmts>
    <c:plotArea>
      <c:layout>
        <c:manualLayout>
          <c:layoutTarget val="inner"/>
          <c:xMode val="edge"/>
          <c:yMode val="edge"/>
          <c:x val="0.13520186899714459"/>
          <c:y val="7.4706368607412065E-4"/>
          <c:w val="0.74189841654408584"/>
          <c:h val="0.6801639119614179"/>
        </c:manualLayout>
      </c:layout>
      <c:lineChart>
        <c:grouping val="standard"/>
        <c:varyColors val="0"/>
        <c:ser>
          <c:idx val="0"/>
          <c:order val="0"/>
          <c:tx>
            <c:strRef>
              <c:f>'SALES TREND REPORT'!$B$3</c:f>
              <c:strCache>
                <c:ptCount val="1"/>
                <c:pt idx="0">
                  <c:v>Total</c:v>
                </c:pt>
              </c:strCache>
            </c:strRef>
          </c:tx>
          <c:spPr>
            <a:ln w="6350" cap="rnd">
              <a:solidFill>
                <a:schemeClr val="bg1"/>
              </a:solidFill>
              <a:round/>
            </a:ln>
            <a:effectLst/>
          </c:spPr>
          <c:marker>
            <c:symbol val="none"/>
          </c:marker>
          <c:dPt>
            <c:idx val="5"/>
            <c:marker>
              <c:symbol val="none"/>
            </c:marker>
            <c:bubble3D val="0"/>
            <c:spPr>
              <a:ln w="6350" cap="rnd">
                <a:solidFill>
                  <a:schemeClr val="bg1"/>
                </a:solidFill>
                <a:round/>
              </a:ln>
              <a:effectLst/>
            </c:spPr>
            <c:extLst>
              <c:ext xmlns:c16="http://schemas.microsoft.com/office/drawing/2014/chart" uri="{C3380CC4-5D6E-409C-BE32-E72D297353CC}">
                <c16:uniqueId val="{00000001-5033-41CB-B36D-B26E4EA3CB29}"/>
              </c:ext>
            </c:extLst>
          </c:dPt>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5033-41CB-B36D-B26E4EA3CB29}"/>
            </c:ext>
          </c:extLst>
        </c:ser>
        <c:dLbls>
          <c:showLegendKey val="0"/>
          <c:showVal val="0"/>
          <c:showCatName val="0"/>
          <c:showSerName val="0"/>
          <c:showPercent val="0"/>
          <c:showBubbleSize val="0"/>
        </c:dLbls>
        <c:smooth val="0"/>
        <c:axId val="562671407"/>
        <c:axId val="562661327"/>
      </c:lineChart>
      <c:catAx>
        <c:axId val="562671407"/>
        <c:scaling>
          <c:orientation val="minMax"/>
        </c:scaling>
        <c:delete val="1"/>
        <c:axPos val="b"/>
        <c:numFmt formatCode="General" sourceLinked="1"/>
        <c:majorTickMark val="none"/>
        <c:minorTickMark val="none"/>
        <c:tickLblPos val="nextTo"/>
        <c:crossAx val="562661327"/>
        <c:crosses val="autoZero"/>
        <c:auto val="1"/>
        <c:lblAlgn val="ctr"/>
        <c:lblOffset val="100"/>
        <c:noMultiLvlLbl val="0"/>
      </c:catAx>
      <c:valAx>
        <c:axId val="562661327"/>
        <c:scaling>
          <c:orientation val="minMax"/>
        </c:scaling>
        <c:delete val="1"/>
        <c:axPos val="l"/>
        <c:numFmt formatCode="&quot;$&quot;#,##0.00" sourceLinked="1"/>
        <c:majorTickMark val="none"/>
        <c:minorTickMark val="none"/>
        <c:tickLblPos val="nextTo"/>
        <c:crossAx val="56267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rgbClr val="4B752F"/>
      </a:glow>
      <a:outerShdw blurRad="50800" dist="50800" dir="11400000" sx="1000" sy="1000" algn="ctr" rotWithShape="0">
        <a:srgbClr val="4B752F"/>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[TARGET ANALYSED DATA.xlsx]SALES TREND REPORT!PivotTable1</c:name>
    <c:fmtId val="6"/>
  </c:pivotSource>
  <c:chart>
    <c:autoTitleDeleted val="1"/>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4B75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4B752F"/>
            </a:solidFill>
            <a:round/>
          </a:ln>
          <a:effectLst/>
        </c:spPr>
        <c:marker>
          <c:symbol val="none"/>
        </c:marker>
      </c:pivotFmt>
      <c:pivotFmt>
        <c:idx val="4"/>
        <c:spPr>
          <a:solidFill>
            <a:schemeClr val="accent1"/>
          </a:solidFill>
          <a:ln w="25400" cap="rnd">
            <a:solidFill>
              <a:srgbClr val="4B752F"/>
            </a:solidFill>
            <a:round/>
          </a:ln>
          <a:effectLst/>
        </c:spPr>
        <c:marker>
          <c:symbol val="none"/>
        </c:marker>
        <c:dLbl>
          <c:idx val="0"/>
          <c:layout>
            <c:manualLayout>
              <c:x val="-0.12024235263855439"/>
              <c:y val="-0.180022849447410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solidFill>
              <a:srgbClr val="4B752F"/>
            </a:solidFill>
            <a:round/>
          </a:ln>
          <a:effectLst/>
        </c:spPr>
        <c:marker>
          <c:symbol val="none"/>
        </c:marker>
      </c:pivotFmt>
      <c:pivotFmt>
        <c:idx val="6"/>
        <c:spPr>
          <a:solidFill>
            <a:schemeClr val="accent1"/>
          </a:solidFill>
          <a:ln w="25400" cap="rnd">
            <a:solidFill>
              <a:srgbClr val="4B752F"/>
            </a:solidFill>
            <a:round/>
          </a:ln>
          <a:effectLst/>
        </c:spPr>
        <c:marker>
          <c:symbol val="none"/>
        </c:marker>
      </c:pivotFmt>
      <c:pivotFmt>
        <c:idx val="7"/>
        <c:spPr>
          <a:solidFill>
            <a:schemeClr val="accent1"/>
          </a:solidFill>
          <a:ln w="25400" cap="rnd">
            <a:solidFill>
              <a:srgbClr val="4B752F"/>
            </a:solidFill>
            <a:round/>
          </a:ln>
          <a:effectLst/>
        </c:spPr>
        <c:marker>
          <c:symbol val="none"/>
        </c:marker>
      </c:pivotFmt>
      <c:pivotFmt>
        <c:idx val="8"/>
        <c:spPr>
          <a:solidFill>
            <a:schemeClr val="accent1"/>
          </a:solidFill>
          <a:ln w="25400" cap="rnd">
            <a:solidFill>
              <a:srgbClr val="4B75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cap="rnd">
            <a:solidFill>
              <a:srgbClr val="4B752F"/>
            </a:solidFill>
            <a:round/>
          </a:ln>
          <a:effectLst/>
        </c:spPr>
        <c:marker>
          <c:symbol val="none"/>
        </c:marker>
      </c:pivotFmt>
      <c:pivotFmt>
        <c:idx val="10"/>
        <c:spPr>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6350" cap="rnd">
            <a:solidFill>
              <a:schemeClr val="bg1"/>
            </a:solidFill>
            <a:round/>
          </a:ln>
          <a:effectLst/>
        </c:spPr>
        <c:marker>
          <c:symbol val="none"/>
        </c:marker>
      </c:pivotFmt>
    </c:pivotFmts>
    <c:plotArea>
      <c:layout>
        <c:manualLayout>
          <c:layoutTarget val="inner"/>
          <c:xMode val="edge"/>
          <c:yMode val="edge"/>
          <c:x val="0.23190516570044128"/>
          <c:y val="7.4706368607410829E-4"/>
          <c:w val="0.74189841654408584"/>
          <c:h val="0.6801639119614179"/>
        </c:manualLayout>
      </c:layout>
      <c:lineChart>
        <c:grouping val="standard"/>
        <c:varyColors val="0"/>
        <c:ser>
          <c:idx val="0"/>
          <c:order val="0"/>
          <c:tx>
            <c:strRef>
              <c:f>'SALES TREND REPORT'!$B$3</c:f>
              <c:strCache>
                <c:ptCount val="1"/>
                <c:pt idx="0">
                  <c:v>Total</c:v>
                </c:pt>
              </c:strCache>
            </c:strRef>
          </c:tx>
          <c:spPr>
            <a:ln w="6350" cap="rnd">
              <a:solidFill>
                <a:schemeClr val="bg1"/>
              </a:solidFill>
              <a:round/>
            </a:ln>
            <a:effectLst/>
          </c:spPr>
          <c:marker>
            <c:symbol val="none"/>
          </c:marker>
          <c:dPt>
            <c:idx val="5"/>
            <c:marker>
              <c:symbol val="none"/>
            </c:marker>
            <c:bubble3D val="0"/>
            <c:spPr>
              <a:ln w="6350" cap="rnd">
                <a:solidFill>
                  <a:schemeClr val="bg1"/>
                </a:solidFill>
                <a:round/>
              </a:ln>
              <a:effectLst/>
            </c:spPr>
            <c:extLst>
              <c:ext xmlns:c16="http://schemas.microsoft.com/office/drawing/2014/chart" uri="{C3380CC4-5D6E-409C-BE32-E72D297353CC}">
                <c16:uniqueId val="{00000001-5033-41CB-B36D-B26E4EA3CB29}"/>
              </c:ext>
            </c:extLst>
          </c:dPt>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5033-41CB-B36D-B26E4EA3CB29}"/>
            </c:ext>
          </c:extLst>
        </c:ser>
        <c:dLbls>
          <c:showLegendKey val="0"/>
          <c:showVal val="0"/>
          <c:showCatName val="0"/>
          <c:showSerName val="0"/>
          <c:showPercent val="0"/>
          <c:showBubbleSize val="0"/>
        </c:dLbls>
        <c:smooth val="0"/>
        <c:axId val="562671407"/>
        <c:axId val="562661327"/>
      </c:lineChart>
      <c:catAx>
        <c:axId val="562671407"/>
        <c:scaling>
          <c:orientation val="minMax"/>
        </c:scaling>
        <c:delete val="1"/>
        <c:axPos val="b"/>
        <c:numFmt formatCode="General" sourceLinked="1"/>
        <c:majorTickMark val="none"/>
        <c:minorTickMark val="none"/>
        <c:tickLblPos val="nextTo"/>
        <c:crossAx val="562661327"/>
        <c:crosses val="autoZero"/>
        <c:auto val="1"/>
        <c:lblAlgn val="ctr"/>
        <c:lblOffset val="100"/>
        <c:noMultiLvlLbl val="0"/>
      </c:catAx>
      <c:valAx>
        <c:axId val="562661327"/>
        <c:scaling>
          <c:orientation val="minMax"/>
        </c:scaling>
        <c:delete val="1"/>
        <c:axPos val="l"/>
        <c:numFmt formatCode="&quot;$&quot;#,##0.00" sourceLinked="1"/>
        <c:majorTickMark val="none"/>
        <c:minorTickMark val="none"/>
        <c:tickLblPos val="nextTo"/>
        <c:crossAx val="56267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rgbClr val="4B752F"/>
      </a:glow>
      <a:outerShdw blurRad="50800" dist="50800" dir="11400000" sx="1000" sy="1000" algn="ctr" rotWithShape="0">
        <a:srgbClr val="4B752F"/>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[TARGET ANALYSED DATA.xlsx]SALES TREND REPORT!PivotTable1</c:name>
    <c:fmtId val="7"/>
  </c:pivotSource>
  <c:chart>
    <c:autoTitleDeleted val="1"/>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4B75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4B752F"/>
            </a:solidFill>
            <a:round/>
          </a:ln>
          <a:effectLst/>
        </c:spPr>
        <c:marker>
          <c:symbol val="none"/>
        </c:marker>
      </c:pivotFmt>
      <c:pivotFmt>
        <c:idx val="4"/>
        <c:spPr>
          <a:solidFill>
            <a:schemeClr val="accent1"/>
          </a:solidFill>
          <a:ln w="25400" cap="rnd">
            <a:solidFill>
              <a:srgbClr val="4B752F"/>
            </a:solidFill>
            <a:round/>
          </a:ln>
          <a:effectLst/>
        </c:spPr>
        <c:marker>
          <c:symbol val="none"/>
        </c:marker>
        <c:dLbl>
          <c:idx val="0"/>
          <c:layout>
            <c:manualLayout>
              <c:x val="-0.12024235263855439"/>
              <c:y val="-0.180022849447410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solidFill>
              <a:srgbClr val="4B752F"/>
            </a:solidFill>
            <a:round/>
          </a:ln>
          <a:effectLst/>
        </c:spPr>
        <c:marker>
          <c:symbol val="none"/>
        </c:marker>
      </c:pivotFmt>
      <c:pivotFmt>
        <c:idx val="6"/>
        <c:spPr>
          <a:solidFill>
            <a:schemeClr val="accent1"/>
          </a:solidFill>
          <a:ln w="25400" cap="rnd">
            <a:solidFill>
              <a:srgbClr val="4B752F"/>
            </a:solidFill>
            <a:round/>
          </a:ln>
          <a:effectLst/>
        </c:spPr>
        <c:marker>
          <c:symbol val="none"/>
        </c:marker>
      </c:pivotFmt>
      <c:pivotFmt>
        <c:idx val="7"/>
        <c:spPr>
          <a:solidFill>
            <a:schemeClr val="accent1"/>
          </a:solidFill>
          <a:ln w="25400" cap="rnd">
            <a:solidFill>
              <a:srgbClr val="4B752F"/>
            </a:solidFill>
            <a:round/>
          </a:ln>
          <a:effectLst/>
        </c:spPr>
        <c:marker>
          <c:symbol val="none"/>
        </c:marker>
      </c:pivotFmt>
      <c:pivotFmt>
        <c:idx val="8"/>
        <c:spPr>
          <a:solidFill>
            <a:schemeClr val="accent1"/>
          </a:solidFill>
          <a:ln w="25400" cap="rnd">
            <a:solidFill>
              <a:srgbClr val="4B75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cap="rnd">
            <a:solidFill>
              <a:srgbClr val="4B752F"/>
            </a:solidFill>
            <a:round/>
          </a:ln>
          <a:effectLst/>
        </c:spPr>
        <c:marker>
          <c:symbol val="none"/>
        </c:marker>
      </c:pivotFmt>
      <c:pivotFmt>
        <c:idx val="10"/>
        <c:spPr>
          <a:solidFill>
            <a:schemeClr val="accent1"/>
          </a:solidFill>
          <a:ln w="25400" cap="rnd">
            <a:solidFill>
              <a:srgbClr val="4B752F"/>
            </a:solidFill>
            <a:round/>
          </a:ln>
          <a:effectLst/>
        </c:spPr>
        <c:marker>
          <c:symbol val="none"/>
        </c:marker>
      </c:pivotFmt>
      <c:pivotFmt>
        <c:idx val="11"/>
        <c:spPr>
          <a:solidFill>
            <a:schemeClr val="accent1"/>
          </a:solidFill>
          <a:ln w="25400" cap="rnd">
            <a:solidFill>
              <a:srgbClr val="4B752F"/>
            </a:solidFill>
            <a:round/>
          </a:ln>
          <a:effectLst/>
        </c:spPr>
        <c:marker>
          <c:symbol val="none"/>
        </c:marker>
      </c:pivotFmt>
      <c:pivotFmt>
        <c:idx val="12"/>
        <c:spPr>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6350" cap="rnd">
            <a:solidFill>
              <a:schemeClr val="bg1"/>
            </a:solidFill>
            <a:round/>
          </a:ln>
          <a:effectLst/>
        </c:spPr>
        <c:marker>
          <c:symbol val="none"/>
        </c:marker>
      </c:pivotFmt>
    </c:pivotFmts>
    <c:plotArea>
      <c:layout>
        <c:manualLayout>
          <c:layoutTarget val="inner"/>
          <c:xMode val="edge"/>
          <c:yMode val="edge"/>
          <c:x val="0.24948758328285886"/>
          <c:y val="5.6887352521229423E-2"/>
          <c:w val="0.74189841654408584"/>
          <c:h val="0.6801639119614179"/>
        </c:manualLayout>
      </c:layout>
      <c:lineChart>
        <c:grouping val="standard"/>
        <c:varyColors val="0"/>
        <c:ser>
          <c:idx val="0"/>
          <c:order val="0"/>
          <c:tx>
            <c:strRef>
              <c:f>'SALES TREND REPORT'!$B$3</c:f>
              <c:strCache>
                <c:ptCount val="1"/>
                <c:pt idx="0">
                  <c:v>Total</c:v>
                </c:pt>
              </c:strCache>
            </c:strRef>
          </c:tx>
          <c:spPr>
            <a:ln w="6350" cap="rnd">
              <a:solidFill>
                <a:schemeClr val="bg1"/>
              </a:solidFill>
              <a:round/>
            </a:ln>
            <a:effectLst/>
          </c:spPr>
          <c:marker>
            <c:symbol val="none"/>
          </c:marker>
          <c:dPt>
            <c:idx val="5"/>
            <c:marker>
              <c:symbol val="none"/>
            </c:marker>
            <c:bubble3D val="0"/>
            <c:spPr>
              <a:ln w="6350" cap="rnd">
                <a:solidFill>
                  <a:schemeClr val="bg1"/>
                </a:solidFill>
                <a:round/>
              </a:ln>
              <a:effectLst/>
            </c:spPr>
            <c:extLst>
              <c:ext xmlns:c16="http://schemas.microsoft.com/office/drawing/2014/chart" uri="{C3380CC4-5D6E-409C-BE32-E72D297353CC}">
                <c16:uniqueId val="{00000001-5033-41CB-B36D-B26E4EA3CB29}"/>
              </c:ext>
            </c:extLst>
          </c:dPt>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5033-41CB-B36D-B26E4EA3CB29}"/>
            </c:ext>
          </c:extLst>
        </c:ser>
        <c:dLbls>
          <c:showLegendKey val="0"/>
          <c:showVal val="0"/>
          <c:showCatName val="0"/>
          <c:showSerName val="0"/>
          <c:showPercent val="0"/>
          <c:showBubbleSize val="0"/>
        </c:dLbls>
        <c:smooth val="0"/>
        <c:axId val="562671407"/>
        <c:axId val="562661327"/>
      </c:lineChart>
      <c:catAx>
        <c:axId val="562671407"/>
        <c:scaling>
          <c:orientation val="minMax"/>
        </c:scaling>
        <c:delete val="1"/>
        <c:axPos val="b"/>
        <c:numFmt formatCode="General" sourceLinked="1"/>
        <c:majorTickMark val="none"/>
        <c:minorTickMark val="none"/>
        <c:tickLblPos val="nextTo"/>
        <c:crossAx val="562661327"/>
        <c:crosses val="autoZero"/>
        <c:auto val="1"/>
        <c:lblAlgn val="ctr"/>
        <c:lblOffset val="100"/>
        <c:noMultiLvlLbl val="0"/>
      </c:catAx>
      <c:valAx>
        <c:axId val="562661327"/>
        <c:scaling>
          <c:orientation val="minMax"/>
        </c:scaling>
        <c:delete val="1"/>
        <c:axPos val="l"/>
        <c:numFmt formatCode="&quot;$&quot;#,##0.00" sourceLinked="1"/>
        <c:majorTickMark val="none"/>
        <c:minorTickMark val="none"/>
        <c:tickLblPos val="nextTo"/>
        <c:crossAx val="56267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rgbClr val="4B752F"/>
      </a:glow>
      <a:outerShdw blurRad="50800" dist="50800" dir="11400000" sx="1000" sy="1000" algn="ctr" rotWithShape="0">
        <a:srgbClr val="4B752F"/>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[TARGET ANALYSED DATA.xlsx]SALES TREND REPORT!PivotTable1</c:name>
    <c:fmtId val="8"/>
  </c:pivotSource>
  <c:chart>
    <c:autoTitleDeleted val="1"/>
    <c:pivotFmts>
      <c:pivotFmt>
        <c:idx val="0"/>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4B75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cap="rnd">
            <a:solidFill>
              <a:srgbClr val="4B752F"/>
            </a:solidFill>
            <a:round/>
          </a:ln>
          <a:effectLst/>
        </c:spPr>
        <c:marker>
          <c:symbol val="none"/>
        </c:marker>
      </c:pivotFmt>
      <c:pivotFmt>
        <c:idx val="4"/>
        <c:spPr>
          <a:solidFill>
            <a:schemeClr val="accent1"/>
          </a:solidFill>
          <a:ln w="25400" cap="rnd">
            <a:solidFill>
              <a:srgbClr val="4B752F"/>
            </a:solidFill>
            <a:round/>
          </a:ln>
          <a:effectLst/>
        </c:spPr>
        <c:marker>
          <c:symbol val="none"/>
        </c:marker>
        <c:dLbl>
          <c:idx val="0"/>
          <c:layout>
            <c:manualLayout>
              <c:x val="-0.12024235263855439"/>
              <c:y val="-0.180022849447410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solidFill>
              <a:srgbClr val="4B752F"/>
            </a:solidFill>
            <a:round/>
          </a:ln>
          <a:effectLst/>
        </c:spPr>
        <c:marker>
          <c:symbol val="none"/>
        </c:marker>
      </c:pivotFmt>
      <c:pivotFmt>
        <c:idx val="6"/>
        <c:spPr>
          <a:solidFill>
            <a:schemeClr val="accent1"/>
          </a:solidFill>
          <a:ln w="25400" cap="rnd">
            <a:solidFill>
              <a:srgbClr val="4B752F"/>
            </a:solidFill>
            <a:round/>
          </a:ln>
          <a:effectLst/>
        </c:spPr>
        <c:marker>
          <c:symbol val="none"/>
        </c:marker>
      </c:pivotFmt>
      <c:pivotFmt>
        <c:idx val="7"/>
        <c:spPr>
          <a:solidFill>
            <a:schemeClr val="accent1"/>
          </a:solidFill>
          <a:ln w="25400" cap="rnd">
            <a:solidFill>
              <a:srgbClr val="4B752F"/>
            </a:solidFill>
            <a:round/>
          </a:ln>
          <a:effectLst/>
        </c:spPr>
        <c:marker>
          <c:symbol val="none"/>
        </c:marker>
      </c:pivotFmt>
      <c:pivotFmt>
        <c:idx val="8"/>
        <c:spPr>
          <a:solidFill>
            <a:schemeClr val="accent1"/>
          </a:solidFill>
          <a:ln w="25400" cap="rnd">
            <a:solidFill>
              <a:srgbClr val="4B75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cap="rnd">
            <a:solidFill>
              <a:srgbClr val="4B752F"/>
            </a:solidFill>
            <a:round/>
          </a:ln>
          <a:effectLst/>
        </c:spPr>
        <c:marker>
          <c:symbol val="none"/>
        </c:marker>
      </c:pivotFmt>
      <c:pivotFmt>
        <c:idx val="10"/>
        <c:spPr>
          <a:solidFill>
            <a:schemeClr val="accent1"/>
          </a:solidFill>
          <a:ln w="25400" cap="rnd">
            <a:solidFill>
              <a:srgbClr val="4B752F"/>
            </a:solidFill>
            <a:round/>
          </a:ln>
          <a:effectLst/>
        </c:spPr>
        <c:marker>
          <c:symbol val="none"/>
        </c:marker>
      </c:pivotFmt>
      <c:pivotFmt>
        <c:idx val="11"/>
        <c:spPr>
          <a:solidFill>
            <a:schemeClr val="accent1"/>
          </a:solidFill>
          <a:ln w="25400" cap="rnd">
            <a:solidFill>
              <a:srgbClr val="4B752F"/>
            </a:solidFill>
            <a:round/>
          </a:ln>
          <a:effectLst/>
        </c:spPr>
        <c:marker>
          <c:symbol val="none"/>
        </c:marker>
      </c:pivotFmt>
      <c:pivotFmt>
        <c:idx val="12"/>
        <c:spPr>
          <a:solidFill>
            <a:schemeClr val="accent1"/>
          </a:solidFill>
          <a:ln w="25400" cap="rnd">
            <a:solidFill>
              <a:srgbClr val="4B752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cap="rnd">
            <a:solidFill>
              <a:srgbClr val="4B752F"/>
            </a:solidFill>
            <a:round/>
          </a:ln>
          <a:effectLst/>
        </c:spPr>
        <c:marker>
          <c:symbol val="none"/>
        </c:marker>
      </c:pivotFmt>
      <c:pivotFmt>
        <c:idx val="14"/>
        <c:spPr>
          <a:ln w="63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6350" cap="rnd">
            <a:solidFill>
              <a:schemeClr val="bg1"/>
            </a:solidFill>
            <a:round/>
          </a:ln>
          <a:effectLst/>
        </c:spPr>
        <c:marker>
          <c:symbol val="none"/>
        </c:marker>
      </c:pivotFmt>
    </c:pivotFmts>
    <c:plotArea>
      <c:layout>
        <c:manualLayout>
          <c:layoutTarget val="inner"/>
          <c:xMode val="edge"/>
          <c:yMode val="edge"/>
          <c:x val="0.24948758328285886"/>
          <c:y val="7.4706368607410829E-4"/>
          <c:w val="0.74189841654408584"/>
          <c:h val="0.6801639119614179"/>
        </c:manualLayout>
      </c:layout>
      <c:lineChart>
        <c:grouping val="standard"/>
        <c:varyColors val="0"/>
        <c:ser>
          <c:idx val="0"/>
          <c:order val="0"/>
          <c:tx>
            <c:strRef>
              <c:f>'SALES TREND REPORT'!$B$3</c:f>
              <c:strCache>
                <c:ptCount val="1"/>
                <c:pt idx="0">
                  <c:v>Total</c:v>
                </c:pt>
              </c:strCache>
            </c:strRef>
          </c:tx>
          <c:spPr>
            <a:ln w="6350" cap="rnd">
              <a:solidFill>
                <a:schemeClr val="bg1"/>
              </a:solidFill>
              <a:round/>
            </a:ln>
            <a:effectLst/>
          </c:spPr>
          <c:marker>
            <c:symbol val="none"/>
          </c:marker>
          <c:dPt>
            <c:idx val="5"/>
            <c:marker>
              <c:symbol val="none"/>
            </c:marker>
            <c:bubble3D val="0"/>
            <c:spPr>
              <a:ln w="6350" cap="rnd">
                <a:solidFill>
                  <a:schemeClr val="bg1"/>
                </a:solidFill>
                <a:round/>
              </a:ln>
              <a:effectLst/>
            </c:spPr>
            <c:extLst>
              <c:ext xmlns:c16="http://schemas.microsoft.com/office/drawing/2014/chart" uri="{C3380CC4-5D6E-409C-BE32-E72D297353CC}">
                <c16:uniqueId val="{00000001-5033-41CB-B36D-B26E4EA3CB29}"/>
              </c:ext>
            </c:extLst>
          </c:dPt>
          <c:cat>
            <c:strRef>
              <c:f>'SALES TREND REPORT'!$A$4:$A$16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TREND REPORT'!$B$4:$B$16</c:f>
              <c:numCache>
                <c:formatCode>"$"#,##0.00</c:formatCode>
                <c:ptCount val="12"/>
                <c:pt idx="0">
                  <c:v>32907.839999999997</c:v>
                </c:pt>
                <c:pt idx="1">
                  <c:v>19985.5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5033-41CB-B36D-B26E4EA3CB29}"/>
            </c:ext>
          </c:extLst>
        </c:ser>
        <c:dLbls>
          <c:showLegendKey val="0"/>
          <c:showVal val="0"/>
          <c:showCatName val="0"/>
          <c:showSerName val="0"/>
          <c:showPercent val="0"/>
          <c:showBubbleSize val="0"/>
        </c:dLbls>
        <c:smooth val="0"/>
        <c:axId val="562671407"/>
        <c:axId val="562661327"/>
      </c:lineChart>
      <c:catAx>
        <c:axId val="562671407"/>
        <c:scaling>
          <c:orientation val="minMax"/>
        </c:scaling>
        <c:delete val="1"/>
        <c:axPos val="b"/>
        <c:numFmt formatCode="General" sourceLinked="1"/>
        <c:majorTickMark val="none"/>
        <c:minorTickMark val="none"/>
        <c:tickLblPos val="nextTo"/>
        <c:crossAx val="562661327"/>
        <c:crosses val="autoZero"/>
        <c:auto val="1"/>
        <c:lblAlgn val="ctr"/>
        <c:lblOffset val="100"/>
        <c:noMultiLvlLbl val="0"/>
      </c:catAx>
      <c:valAx>
        <c:axId val="562661327"/>
        <c:scaling>
          <c:orientation val="minMax"/>
        </c:scaling>
        <c:delete val="1"/>
        <c:axPos val="l"/>
        <c:numFmt formatCode="&quot;$&quot;#,##0.00" sourceLinked="1"/>
        <c:majorTickMark val="none"/>
        <c:minorTickMark val="none"/>
        <c:tickLblPos val="nextTo"/>
        <c:crossAx val="562671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a:srgbClr val="4B752F"/>
      </a:glow>
      <a:outerShdw blurRad="50800" dist="50800" dir="11400000" sx="1000" sy="1000" algn="ctr" rotWithShape="0">
        <a:srgbClr val="4B752F"/>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 Performance</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masi MT PRO"/>
            </a:rPr>
            <a:t>State Performance</a:t>
          </a:r>
        </a:p>
      </cx:txPr>
    </cx:title>
    <cx:plotArea>
      <cx:plotAreaRegion>
        <cx:series layoutId="regionMap" uniqueId="{A6C714C7-C419-4506-9ADA-3EC31C701B09}">
          <cx:tx>
            <cx:txData>
              <cx:f>_xlchart.v5.2</cx:f>
              <cx:v>Sum of Revenue</cx:v>
            </cx:txData>
          </cx:tx>
          <cx:dataLabels>
            <cx:txPr>
              <a:bodyPr spcFirstLastPara="1" vertOverflow="ellipsis" horzOverflow="overflow" wrap="square" lIns="0" tIns="0" rIns="0" bIns="0" anchor="ctr" anchorCtr="1"/>
              <a:lstStyle/>
              <a:p>
                <a:pPr algn="ctr" rtl="0">
                  <a:defRPr>
                    <a:solidFill>
                      <a:schemeClr val="tx1"/>
                    </a:solidFill>
                  </a:defRPr>
                </a:pPr>
                <a:endParaRPr lang="en-US" sz="850" b="0" i="0" u="none" strike="noStrike" baseline="0">
                  <a:solidFill>
                    <a:schemeClr val="tx1"/>
                  </a:solidFill>
                  <a:latin typeface="Calibri" panose="020F0502020204030204"/>
                </a:endParaRPr>
              </a:p>
            </cx:txPr>
            <cx:visibility seriesName="0" categoryName="1" value="0"/>
            <cx:separator>, </cx:separator>
          </cx:dataLabels>
          <cx:dataId val="0"/>
          <cx:layoutPr>
            <cx:geography cultureLanguage="en-US" cultureRegion="US" attribution="Powered by Bing">
              <cx:geoCache provider="{E9337A44-BEBE-4D9F-B70C-5C5E7DAFC167}">
                <cx:binary>1HzZbtxItu2vFPx8qYo5GI2uA1wyMzVaHmS5y34hZEnFmUEGZ379XVTK1VLaRz5uHFzAfqiEmCQj
9rz22pH1z9vpH7fF/Y37bSqLqv3H7fTHq6Tr6n/8/nt7m9yXN+1Rmd4629q/uqNbW/5u//orvb3/
/c7djGkV/84IFb/fJjeuu59e/dc/8bb43l7Y25sutdW7/t7N7+/bvujaF7777le/3dyVabVJ286l
tx3949Xlp1e/3Vdd2s0f5vr+j1fPvn/12++Hb/lmxd8KbKrr7/CsYEeGGyY4Z+ThH3/1W2Gr+PFr
T8sjhW+kosI8/FNf1768KfH85f342yfr8q9Xv7ejh/3c3N25+7aFMA+fT598tv+9eLe2r7pVYzGU
98er6yrt7u9+u+puuvv21W9pa8P9DaFdhbi+epD69+c6/69/HlyAHg6uPDHLodJ+9NU3VvnX6Us6
+EmriCPFjZFckb3WzXOr+OZIc2akNPxvq+09Ym+Vf6Xtra3atHppS983y5NHD+yyCvgL2uX6w0tK
+Dm7cHPEGddaMbnXO3tuF0rpkdI+Y0wdxMl1d5O8tI/vG2P/1IEdVoF+QTu8ef+S/D9nB8GRtXzl
K66+Gx+UkSMpfUqk0F9X3UfGG3cf2/8gLL4+d2CLVahf0BanF1+18r18/ZO2IEeUCepz9Vghvs1V
VMBS0pd/2+pprjotirSyKdL6f1/Tvh8d/37ywCqreL+gVXb/i1Zh/pFEfaDisUAQ+jxT+exI+JoL
5n+/guwK69K7m583yt8PHthkFe4XtMmHy5dU8HORwuWRL5gxxPe/Wz18dcQFZ4rqRywGmz2NlA/3
VQUIdX//9fL3gvf7ofLk0QO7rAL+gnb51/99SQk/ZxehjwSlXGpf7zMUasZTDLyvJkr4RNAHwx3Y
5V83bYIOoPtP6srTZw8ss4r4C1om/F+0DNdHTAqlDDX7iIHmn1mGmqM1XDQVdG+6r16xr/bhTZH+
ZV2V3ny9/j8PmafPHlhmFfEXtMzp5iUt/GTMiCPuG6JR+feK9w8tgxYG7Yn2ify66t4mp3c3if16
6X9ujsfHDiyxivQLWiJ885ICfs4S3D8yxpeSiH9XjWcxQuQRYDDwGVr7p+UktKjxN3f/gS3+/eSB
OVa5fkFzXH78qpnv+eNPmgMtolRCSP7Yun8TGAqBIbmvH1EAUtpTq1zeDzf/Ce76+tyBRVbRfgGL
vLzFp43Bszt/kuxC+y4J6rzgel9OEBFPQ8WYI7I2Mtw8tjLiuW0OaKj/flvfB2EHjz+T5P8Tx/Xf
819/k4Sbm+5m+8AuPqHAXv72QVywnQePPvr1PqaeSftVrad3f7xiAlr+m7NcX/EsHg6Uttf538/d
37TdH688pY6M5lwBwoERoIKAfRnv168ADo4kZcDchktACR/hWFnXJX+80hSRKjTMzXzKUKVa26/X
KRIqZxJ1jQJYGKCLv+nct7aYQR/8rY3Hv3+r+vKtTauu/eMVh0/V+9vWXa4rAj8aRTnTCqQFwwbq
25v3AIy4m/6fgmauomMu730adb3ZslrUXhGSekiXj1L2dX4jPCfbXdXM7Sw2HZtkMoWejciXuHKi
8kLLplyfmUTO/SY3XtWcjKYs2teFLGtvDmw+yfqLzLtsshvoqsh4GGst6L2e7Ny/L5JJFze+L+vo
lpe8UZexSpuaByVNW2xF1NKVbxJKurHaxIV0eR3YUZblBdVzgy3HZUnnc1byKvvLaweLZ56Y9DtK
AsB+piNDQEEbpE2zYj1G4BFPdaRpmfaJSvz7aLRV1px0pSjESSGG1umTpY27dAyXtAbYK0iUsmj3
8vIUtN3z9bXmIFQF9zkshc08X3/JuN8qotK7jOY8T8POcsmTwBjmNdnOTWPsuo1LulgkgSe8pa7e
joLPLQupWNTIzzqVVG0eWNtwRy+N9Bt89/Im4ZBP9iiJNEoQTiSqC2hGX8PFn+ooV0kD1/CGy6TN
PWxuKUetPtetrPp3s+f3Ag3432H2HZt8bz2Ain2mVEqR5+vpaaop80l/uZROsiaY4qTJAmLzVNrA
tWkMzP0z62nqU5REVEYwEoKqAx/gY0RpNaTZZZTFg3dV5dlM2Ebnhebbqm00RH55wVVhTwJTE845
iCnD19nGGufPBZyS1GOJ496d8tyApeJFx7rZFb7oOAkq1yn1OZck6sCLvyTogbOv6wojNAOHzIzP
D9et+9lq63H/Lp4RxCoYSF20fyYiYlUcjFnap2+qCJOpLkgSC6b5B2KDjjsQWwsfjBwzQoKpPvSj
WA6pR6aE33m60A0P5UiUvEFm8rpTu6S6uEw9aulrnjdzf5W3hCxJgAa4gFJeVsRzD4NnSYamGjyt
kgra4AcG6FRKsjmvotvILJV0x7apy2jeelHZmvl49t0Eq7y85LfCA3cpoaRPDEGZP3DqRCdRAb9y
d0KNSJu7maqF5jvpxr4V29SPhPrsemi9CVqFOcBnS+bBme2QWlKPP3AEelAaoABDQPismQ/NFPcP
dhObJZOm7rwvSep06Z1MXbJmmHKyCSZg/ZiJRYRp2c6sDibDOHYlU5L0V2WtsjmsPOqqK1Mmpas2
jbSOvS+HtGq/vKyztUA9jRNQI0QIIiTVKIqgeZ/HST9GviPNMn2ZXOfgBKTPCZRFppFLL5gcR7TW
LG/WoOlGu36kddz/rLIoVVooTpTxBReoFc+34Tes7eZW2S9VIT0UxQzlYBmDYSbdLM95JFFI27h3
+U2ZyQolytWlo/LE9zJvyIMmQflaS+mc4KkqXYrhXEx5bcsf5Gl66GN0VZJm6xwIFlbqoOBPfKxq
Uy38Sxsx5ZXbrGvron/bLF1aV+HYzA025+lywHd2bko7b/x8mb2rsa6j09a4IovDclnIfF4mTdVF
QWWIirqwl8Qr3qvSxEsZMm4m1BjmZTOtzshiCrw1T6OxaX4QphQdyTMHACPpG2UUAUeGnl4eVB54
ZtUM1VB/1tLKTIY18deCEEW9MS6ki17LUTTvs2fRC3zXP6STmkY+vprGjqtm14/8xwEtDrM4A3wz
CCRKGSZC37hFPuVtGSW2/lw7RFGz5W3ui9eMJnw+520/Qx0mGorlY5lM86yDPnFjk4RI+KN6HzdL
5J24UmTLR+f1rbr0U7UirkkMZWGO816u5rEtN3ChedByeF+7LF8+LoXKxzwgRbGigBTah4FsZRJc
5LMDtPPLaYLtuMxmfLQLiTt/U8uWtzul+9V2+RSnQGzNw/LGj715DHw7ZXiFBRrDzlOvWsFWV8sy
v5laVTX1zgyODleC26W7cC6PXFAUpWNl6MVROZ3EAmjlU+VXkfg4kIHCybQfA7gNTWWB+V7ODYcp
HNrXRKN0c6GV5PTANXg0VzE1dfF5oWXr4mBiRNdtMNrMFqe8b0YkipdXPMxGTCMXMYq6TQVq9+GK
rSNtMpZ8/MSXfnXGsRdr+mOtzlG81dBI9TnK+AInHFnftfFrjcQCP315G2t/8CwouFaKaRQuyQgT
aDuep6OFD33jGVV+LEVVdjzobC+9e9skDbJRkrcV3bpI2/Tt0PoxMk6dSBtvY79jgw18rcdiCDoW
N+dF5KuribvCn4N2pGp43/keScNGLpM9hxORJMiIiNI6EBGgIYI9IfBDOyRAF6dRlndr5A9gJN5g
MK3rOeC549Nw/LLEh3nN5yhQ62CbPXBJaLKeS5yrKKnGptXXQ18RdAXSOYauYFhWvxUAWeIkoeME
t51yw/ERdw+tgqfq1aV5n40suoomtbo0a1LgypO0ZnxNkc3SErpriqFu0+NFzjmiLhrLtUmhs18i
OjVtEEYvi8QOMpsPBOSjbCKrwYKUkoNU3fCqXGxWsWu/Szhiq6vjdQOdx/s1dB/iGKzbjL1FybSG
OHLlmlJc3aDQeAlFX0QnuV6yTd7mN4XJtDhJx2LVQzOPVl1GzYS70oSvIs5xqdpd7mnHd7XvBt6G
M+oFxP2BaAcoE6IZivEeRahgCg6899xa3ZRTXfR2vubxsGaqzjVwraVYUnvbET9nVTB3tlk+alat
9bH0LIVBJlUW8bxdSkW7eGe414/XQKkO6hh1xuF9fFiQTarUM3AxMRb1mt16pM2TlNUj0loHRIIF
0y4i+AtNK4UqylhAFV2nE68LZdFnCInEsAx/7fWzpsL8p1oK4QMuAF1pJn308eQbqEvHRahZNd6H
odQW2WEPb1niT0MeolVP4upHaeGgHK1LCg5gT1CWCBq2A5RCMgsIWU/6Q9tTeEg3dx0cCrUf+hFZ
LazcRqNnpzZQBZ+h8GKIKkAWJD1oaXRT0b3VqvWjbBd1wkcyQEAO7x1oLFSA0kPgd1OFQvVotrgZ
K6hyKvwKsYIoWs0R59NqCC9LKT7MnJnhPbGlxU5knqM25apbG/+XXU4Y/jwnQvi1CCBJUMxjvu2o
AAdbLybT/CFJZlVEQdfnvA6jkUTZpWKLcPO2SZyq/cAwZrIkcK5JmzNS9HySQQ204527uPTE66hM
NA+b0U7xLUkLcjJGvVCbXFe2uBNZsbj3pVUljuYttBjfiIGSadn4WWVkHTbAj22/G0fpD5euSaLJ
BqokJb3gxFGzqSpnaJhNXe+iwE5+s2RBUg1OTGE85QOCYVjcOBfB5MlMZDvDaC+uVNHNIg7JRPux
P67NmNAI+C2Ku9Mu0UBmoV6KcVnAE8AV69Mpn6M+aNo6U7vB6JhvZOlNy4dRWZZ+7EURRxsuOkbD
Gf2pnQMVd63ZmJSNeRjLIj7RjHebxpJxOY9MRcgxHWnCdrHX+gnZ1rktxfUshzj3ro0l0/Rh6ibe
vfbarvLeo2Lo/k46pdz1ooe4skFtLU3ad2Zaivw4SkEX7RYr/NIGJrecJaF2S9v4X2iZ+dVdwmo7
TBu4ytzcm74bRxLmxdjS7KSLqkb6G/QBslDHUenl6tJQ7eX58aBq1hbJfeJXvIOWJ8p9J14v3A5w
6YW6tk7e4dhbp8i2qkRd69PeRGlSXFRyypt4mw1xNw4Xo4ziNN1Fohx7+T6qGG9OVSaS2N/BVxTP
g3pYCMp60frpaILYE6rpNknklmw+HePWS9LjMS1RbcLcjAIJdqjTXv5pvV7J9hTOMXpROHLAFnrZ
10BdJuhm7k/qTcG0xke3v+ilaYHviEFX78LFtqL5svSNYcNZplwdsxM6eZ7W4ZzJvNfHU5XRsgik
GNa6SKSXQpyYSxSVmymaceIvzGRiZPxmHuux1m+zyMvGYqdz7rH6NO9n4w9vVMZlaoLGmJWT0K6T
Sf5Rx1HkLedCFC005c0NUvZrZO0mkecej5wuLmjapLR4m2Vj5kfbMUMiiLc2pRx7R8patzQPXkHY
lsTJnDYbUueZ8zdVRzxZ/cliVmG9MiuMue5jv2lChz4YmmV+n6KChFQl60uwf0CWoGnMiulF0kL6
sE5oxdUuS8ZVY7zocnzYNulA55R6Tfli6GJfh2bsLBxgqYA3jjvjStxX70VNOrlAfU2m8Q+1pI2w
WpHQlRKi6WoeWouEyX/RYlr1XAmTgZzzes/BFF6V+4m4bxo0NM3OpSmQVjj6dNZNmPqJ7D1YUPRN
/7HLqj6toC8vWexx0i+CTq/9TK9bTmHperlS8CyswPFV8yXyptXBlPNWy8vZw7XClKtqhoHiVpRY
vxmxhwEHMyHjozzOcd58AYOZ4Jqcaquucikiw0MxGhBAQa0TCl08ek+0tAav1Jm3Chd184MyeniN
Cx8xrpGLXP/ircxfc5I67+pR1d7+9q9K3t8HpoDlrzWrS2yAVl4yfMlTVafuOK34DKEbtuBEdBAz
HqfkCg14bE0g94ayy9DB1dB59y4+raiZIxnQPBlm9caUvYWWBlYWuIXV4NhcCJojGkyQk3kFvXEp
GS4WOibNF7PXoK0RQchre5kSlqJHC2tbqZGezL2/dudkb9q9e6goL6AfJVI8sZW6WIWf1JzAT2Pq
1mUSkShcnG1DdHK9eKnouzNIylf17h1p6eceu4SQ61to6lo8h1ERh3e1XbJufa9QbxkX/GELboXe
ekSCiDxdmNRTfRyvjBbZjmlvEdPmgaes2xH2TQfNmi9UxRXcp5VArBDeDQC7b1oMB9YXsmH9EEPs
46OoyBoO5SLX/Ve9ipPxui/iIk53VezD2ZOG05if5O2saXfO976SZq3p9PGjyk02OGxnSnmOl6AC
WCye1WmOOj/QZlHkGsgt84dN3XhdlYakjSMsLrMEZyY2XVGD2yxAGICygZmS/lTbeA3nHvUV1/K5
V5m/ywEWp/mMm7aY7EknLCnLsDCiKIcgamPQhtTQHvcnXdPiA6BRFpdl0+O/8wNJLclIQRU1GI4U
l0PeRSAFRpdhdZrEdvioqmhCFxDNy+r7o0Eqz3YTbxgyjO+Sove3RYkSW24nr4pMeyoNStX0iagp
Q76JC2vz/OSRn8+6InHZrk8K9Lu3s2hx9v2kzhKo45g/xExj/QIKa6Mxj5aPPPHt2F03fExGddLt
RZ9M3EJFvJ6WHBLl8djKrVoIRZbrnFjVR8GPQ5ngq1YX3/OnfpuP0ADt2Spvl6YMHw4OjvubFFSo
F6TFAl7ZCJZXJgBlMavyNa+pwx1qpmsPO8i+BaO2J1kWKgsX7fqqcRE7jaNmwTuWPfUWoS0Ha9hI
kYMvjWiO1rcs0TtVYVeAmJDnJaYGkLQTY4qpRpz7HVIlV9GMmtfOyDTZDp3tqrw+5StVwHo/x3Aj
K6oYj7u5gJSfRsCzyDsbo9a59NLwbCUpbY9y91rnEVfdOwEaa462U5R5c7JTYy2LdgPqAix/oEEC
qc8i5hQtOYqhgfEXTyyQSlXlWjZKGa3u5pijcL69JrPOgonmKUn5cDYusoz0u3zpR+/KAUyDVVjq
xqjPyLcgab2xXqCBTJBVhqiuPCT/x7FFkQKvAlmb0o71Z2XmpKFfxFSo4lKppp6jnWC27by/xpRm
U7RFReOFDNoC/LcX+gXV7iMYyTHvPpC4yeI4jOTMk+n9qIFtmjszpEPDPrWRD2ri2OX9UJrQY0ub
f1xEz4QNelSHCc0+pRaYUmtpetrDy8vMsHDARU8PgR4x6ps2j5LsbdnUGQjiEIcJ5lWsh3RTFMOa
/8wcr9kE6H8N3rQt1zuqB/Y+yth6TVLi4Y45ntcbIw52otyic19nG2kR1QjlGGgxuly6mdbbDIG6
RqUp128eXRaYEpnISEzPMAJ44MPXdOrFoZtmx3VAmSP+2z7R8WiDkVRgz8W8RIadjk21RnnsLSsd
2GLogw8BWNadNguBfwuC+cMleMt155gp4dHHhaQzKGkNXMW72ndsVZotOg+yqu7Fu3yfsPI90djg
EDi8wSualYRsnXJCbMq4bGwUJI3qvas+lTVk7kaMRYezlMUrjEvEhDX0UKzb6h8CzrM56kgQyX4N
8pqtc9tNNU6rT+poYXkayKStynKbZAWicbdXCHjgNenlOAGN94qWetl5wnih/R8QXwcNPbgc5Ad4
MENyU/QbWjnpMEMAX82uEmsVdq3jeEI0jBZptvHEGkHFAOIlCYa0Wff+g+7ueW+3Lq/WwQlZTxVj
/YPG1vWT9cZWg6rap8YMHDB2gT4AkfTyUgcEOqKJYOqItUBZ4b9qpd6eTMxHP2/8CFDyq4+QfLI2
bOpIiDfaYGaFjKyS1ah9msHCVjgBkz0mx5f38pzmw6884D8+xVBS4XwB/Jw930s0cAb6NouvDKZq
6nMq6YrH2xZnq7eLBXT+kZ6/XRAnhEEcKN8wkIvmgFfME0doUZLofTNVKBRxjop/quccae4xsl8W
kK603b/HO6uE4G6J1BjmMopx1MGCU5GJuOoK9f4xY4zJspL2s+KzlLtJtP6wy+poce/6kc/Zpuyr
NZ9zh9TgtYtAPfrBjp57OnaEVso3KF7aSBykOhyLzYZ4o555877YB9UIXIcYn/o8Ql5P/SGFCRLR
r/Nhw1EcAC28ZN1IVvOmX8KhQWe/kyW3kgQTUsscItU3uB3xEdHLdOboJ8NxP8+q92n2ZSHWcHii
Vewf0xIBh8F5FAEC7oB+G+dlSt0i8xNdeS6XoS5LzT8rB/v+yGO+XQrnAnwMnHC4HD3RYWSWESvn
Plbxyb5yDhLNPMRmTYmPl6U6GAXh7TihYTA7Xn80YBQSwfNwqEiXRNlUm1uSgVV99AKm8hXZOF6u
3c/oD1UZklI4pgPtChDzQQHk1IYdryZ9nY0EMfuDfe2PiDxROCg3qMDg4A7hiET8Nuj5zgjBeEOn
SXvsFkaSdsvktA71exyb7O1f7VJhLhzaNgZFaYIyWtB0BZ2MO1qeo+jhaFAc2rwGgXLBBFp48raM
ZBzbkxklVtrLaEpzOs1hxDC5+dQ2TYluwmVMVM22LPqFdSGxRLXlxncSjNUFn6jl6q3Zj8VyBUzP
30RVSZvpdR4ng8FRnn5QKQW1kOEIyQnwuk7LTeFlNVzksc5rD48lQb6vzgC6PnKuesgGe8SeP2hz
TEqGDIgOa62m48A84ELLfMDtivVQN5CK6vUlb4t1cuftIUKNGSPsRmqfLmmQt11Jl6BqnanSjap1
kfXBV+agQfVJgkc88ABEMKAaod+l8ddaqJsBBA0geq7YtvYtlixzgPPhjID0T+OwmMoWbQlo8SIr
rjnQo+GXau6MqE8zRby1p24HB7py3rczZpxb3mySvC/BXoLI0CDrgyzpfBuFXm/jkZRBw3Gqib01
jan1uI0bJWTzQc5mWOwH0PbrYAhQijB1absWXPyHtAZpG2/g55jK7xLXUJqFJQV2+2tGB9f6Z1JN
I/tM5TR3/iXYp6h+VxmT5WybVa1H0FAStB1diCNmGElvKzvDtptxYoubA+KhwR9CIBwq/XAWczRe
5Kbt2iXAVHdM0ZQa32G8mCakPRak6MYvipT5nGwiAdxaBaWuSvdnBQLD6wN/P7l6RLINxsqxuvBL
pL9sVyWFYj3A6ANcAX+8wq256tbcvXeN4gFUVbrI0fk4g4MldTA4okqK4zux1dgGy3MWjLk3mA/I
hda/qivjFbsylbEMkjger+Scymwzp2N0nIqBn6SEL6elm4YTEAL2vXaKhZORyaVOu4KAeh3chwhO
fSJiadsA0Zd8yVxd/BmT1G4mQyO0dAXvjtEzgplhlTz3a/LZ5gjHaqzVhRrTeqNFksC6xHO7TE9i
m9m0f7NkRUe2ALfd1p8JL+CxqrxN6v6KUVGfO+HF5+XQdlvZgsnFeY74ZLC92SRm9N/pOmkwHq/T
u7Rtok2R1HEwi6rayMg0Z/7Cyt0cVRimVrUUeLU/V6HIKr0b8cpTH23NFzfZ/hjHB6K7xuTFcT7R
Yglmk8ldkhF7VQtQ3EEBpqMNPG7j63Fa/JvCqyQ64r78MPos3RLWkTNBTJIG1vP4hQDbtXNdi9/9
ZDp6Bw4uxbGfjps7iokJ2gJa0/cDy5J0V8+Vt6Vt2b1vB4G+Halg085Tf8ZbN+eBLEc/jLSJEv/P
dGBmPsUgv79tmcjo1vZ1h24hLZM5GPBLvXu/k7rceJHnzkqDqf5G0C57Nw08R7tR2nPZdrQJIz+x
NyRr64tJC3LeKrp6aCTXUWQ8jGcTUOFrovPhFCSyd5bmPGEbH9nvjo4jr4Jl8WmC7rP2Po11M943
njeFLKXLTdtmlmEwX+NY47K08NykqIsAB49cv6mXMZ/OVB83cUBonV7OVCMRozMJh5EX/Ay/1Cnq
Mzc1bsfqnp3LopwCEKYf5Tjfkj6KLgVF+Axt323A0JE0iKdy0Bs5W74Vuqsu60S4T3M9AdoQTInj
NuhzHCXIQ53Gsg68nosbDHhtwFlRHVv02wEjZfduolX+rk3mLg/zrouvm2Ru/nRTXbKgmfopjKir
syDD/jC49EFdIfCmZAnF5I9vDWuTIqyWIbvJynoJMCspP+KnkU1Q1wN9Z8DFn9bM+WHvSHQm0krc
tL6aLjLQ5gPYe9Fj0agLot5r0Nj18YXyPZsGBc3NjfOAqTc+YE4WyKxt3qpR5TskeqVCky76pKM2
eYvjLjgiMSbumtmqPh76iR5n9aBuHI+uR7Sb10tTLv5xU4s5yJoyvp+hkOOk032/BZqarzpnZBQ4
0WDwmcddQJJhOFUmr48bwDkaxLo116bqzBc+1fxD5iL7ZViG5b6Hg28Gbdlrgfn8MUGl2DRT010B
pnmBHKvhwnNt/nkhtjrmBY1wwAms7GUyE4FaNiEjkSz1QavIXJ1ozDfCuq2y41z27hpHpDj2P7Az
Siq+yxRvP4Heat6aKnEndC7MVVm65Txus2Y7aaRcdJNlelkJ0p25XoxvqzZyH5zvi1ueD0gOrJmH
SzGXCB5QQ28o7/rzyenxNB0nbkF/+NVxpEqxQZeJk59gD8zp4rnoIooS925hfnLt4+Dkp2bxuw8o
+PEJgk2/XqjX4SiQSneFieQFBsWUh11pio2/zBWHv7tqt8SefZuDyX4bT7ZuQhywIDs3Zs2nuutF
jB51WS6cEf05zvvkaLJL+yHmiymRs8tpy3Xun1CMzsKhXsQbf4g5CG7n3XkRw1Gui1mKJTXhXE7o
CTa6BzPsX+SSD7rbEvy/HoouKEwdXYxeHb8FWVFcemKuPhadu8EzMfjSlH5sSyCYrNfZ5WQynGKU
NU3PjK3Z596L+jEskpG8xomZ/jplw9AcJ6zgIjQJ1eciss7fGVJW5qxM/HqDcahYggFj441vllIH
2dKZISh5VF1aD2Pz89lrNHStyNi5i8YMmJfQydHxtBJN+YZPwnunK5PWoZpcYreJqd37LE6Hcvv/
2DvX3rhxbGv/Ig50o0QBL84HSXW1XXZsx4nzhUg6CSVSF4qSKFK//qxKumc66Zk05v18Go0Gkrat
KhVF7r3Ws7bhnPr6pmvU0FTE9BRgIechOWR2mrZHz3qz1Idr6RFU+egQmVG4a8Mq1FmhtTVtGWao
XEraLdzeQXSQUxkvoXhes23w5RC06S2oNx5Wa4gS8WZGPzu/0AZNlME+YvRMUxROogedc7Rzmp1p
5IJePm+x55EtvBuDfDlH2OyCE0sgrB/G1vemqu1El6ecCCUBsog2N4UhXLSqJEnunpoY8EkR1Un7
ZvAh2Q4r+jVZBtkYBbdrLl1fRgZy+F3WYjutwJlt1QCB6CyjuSmRqVPnmXg3yfvWkzTfYtz+PnBd
BbmjU1fYSUe0u5/nRLK58qlM2wg69TTgeWBwCcsl9FG3S8KlrW9VDZOz6HqopeU2u7Ev4s7DP8kW
qY59k9BhJ1a63qkGamMlXeOOsUCkvEpZUGdQlqQJT0oYDVdvoZkvohUmcjpH84XQ3GVlJ3kyFVmi
YihakL5eQk3MZ5ujNImN9tFhGHgY74StoyUqUcLVZChhcYPoWousTh89SYYMhdnCfNOW2ElnfMEQ
kMY1v2ETGlm6q3WrCyrG0OU71WVhVu905AZK70Ji0+UtPNGOH+XIko/C2g/bVou3otYfRK6pLNAm
dE8rEIkdZ9wcAhweATaJ1MBFyrab1kftxcTNsre1yUs96k0XGWhHXXQd7Z5M36aVMakvFtYk2F/t
3P02C77ts6GFGyYcv4NRx4IydNM6VhsOm+Qhn+r4KQOHY6rGQjLBesCCAandrJ/DQas3euwntpuy
TNxOQz88LeM0i93ihOUniK8iK0jn8lM3yLGK+rHdq5FToNdBuMvnerhRnJK7SLnkJtLw/gYxwQPO
0RZVUcTtx37JlsPmoqgtggyHcBXkdpx2OkyHCzC8dT5ps/Iin9bAlaMSskzSyeoiDzsOFBNc4XKa
Ury5nYdW/LRxRNI57OPxIGFTVQYP5VpsXpkLTnkc/k2q2qqRqC/wEvgjTp1mv2R5Wi69rl9kI8IP
ELDcHuxLfhiCvNtnOpMPRAamtF1avw/67m0rAVQJNG77LOLydVijeShoPAyvccDNeYli7gpunGRl
A43xzHWENy0CCMWNsyWa8Pheoi052zVsflN1nH1QXITvVRivtxYGaEX1OJxiKK8v0LAjdd3TnC5i
GYx3Kecx6lZsjtdFmPyWqGuT7vvuemq7aPo0WEaaXZs28BOhyQ7pqad9M5STadwMy2YboLllqwzL
uMU+UqSkkfSu1VP0qa7rWRVRi9dQyDarWanwc0uoSFgTtdf01KVLlFVo4W1rUGspce70ML/T6Nrq
Uuk4Dj7g4F1NkRO22iOZVVrNWpJjM9Lo7dV+34ebVUvReKLvKXXy02KZxvGAznM/LBxQ0cBpfAsH
zNxoDzajMAIlza2bFv1JRbNryglqnS0a27rf5tnjWcFDiT5t0RADP1uYP7aAsWV3vbTxGVqvAHnU
uA3FPOjLLwlITL7vsnq+STz6t4KgHJmrlo+E7sjYAZ0NNktf5qltXzNtXammeKragIzBZVmz8Akm
FcsB16CGK9J5rdvDiqLqjN2vX3durGuJUi5H6QkYggyXuF5DUi78CrT5LqB6Z7QFqA+wA4uoTOqu
lomyewHyYcw7VUqFIs3srm2sLbkfmwg1ddzz7X0/Lb26j4ZwnSp0FVxhS8vTYdOlCRfR+gMJItkn
9+kSc1aocGzijy3oS9KXljAn+R6+k3LBnaqHdMhLdNsu0cWy1d20lBkOXOqrGjYQa4sFUHTiq956
3qkbzzgknXJa0IDph9ZCtYoLB1o6X/Zm0WPzXgiVDKJa8ajAjUBKKO5NYd04pPNeoFbrT0u9kO7r
NE7O0l0NjKjrd3SEZfXEgwgWxkGDN5r7yviEBPJBLlrhc0gIqKNFAgiGlG5Bi+Ptf+lIngW4j5Ps
fZXr2tH31NCofvqueRJ91e3nNr8qjFHInb5BBvnqgMN2v9oJeA637LNIeODSA/DkDc/bGE5587ro
tSZ10TMIcASdLZdriiMC2/H8stQQFNjtjILSXQKZBz4pFzEtozpsMInwaeHIk4P8FLOlt11F23nx
/U284O1tBeZURdFUgh2JO/4Uz1Q36S4F79nE52BZRj8A52lm1DjoHcS415pJ7MdkHioFmOcuAhOF
0l3n2DF93qCIYsmhmbPOew0x00KQbEqQSUu7JjvRu6Rpd3oFuJJDO+gHdruh9GM7TtqUw0yyPNdL
ESZjnuwyv8XJAfZZ96LZ0r4lgFTmIhoQiiuSBc/ODtBG9znoFaosQOS1UbshnfK6sga4hyu2aISH
t6WL/warn/NG2AckkuwRcmpzOwQ8LlWULncy9L7b6bgD82Rz+KmatE8yd2t2GlHCZUXca58Url9V
fzBzABjQMb32yLhY9VlvAVfYWpOOFynO0aWa480/Tg1ZHQoE0u5QgaJD5FJTejBpMncV75j7RDbu
vC5CsY7hI1ONohVGsvW/mQA+cDFJi9ag34hFN2JkWO9QTpjpuNRU2c+CuKvigoo66stN1WKP/Jjl
ZN8tIQPjEo15X/IgGYZd4oPpGE5D9traNoFgmfFIDCUExYaiQ838dOlYGixVFNBlfg+CAPQBUFDA
aiXQiNGiQAoj4DkQty4CnXdXJCPq8DsH38oVa6yyXabS9kzENIAIXygyCkDUdAcCIvLLVLGe5nB2
yFwfgP/jg8mcIEUMRO046naU5QLB7NMG3x9rg+dvFhIMeJ+b3qehdg8eH3aV5JzlOwlE4QsBAwTx
UGpxS7ANTx/QXK71m0x25lp1xVFzRAWTnk2S0eYTtsjYH2KbyMdhjfkdaEPxWZgQd56tmwP1xRco
I9vWuEI3wfqWObo8rKat8RYQr4PJmnUDdtOsA/OvaP4YQj7MqlwO6ymEaNFUKxCTd2ucIN9I1ZQc
+0RKUH6GPo1cDPs56oP3qZnCIs+A89Wm3QC6T5svECPyF2Q9o6aKlskiG9X24Mzzxub2JFIDyGvq
N1CVgq8OLzdvr4QBuuFS95mP9jBaYFcGMQKPlbCxxdZLEBtoillnoPRiMY0oCno/3cWLXm5FFFpW
BVTobA+eQD+vLpsB78493iVM9exDYmomig4F+P1IrhXvxBLWF6ipfVOkiuegOtTY1BUOdAmACXLJ
w9ZBASi2VOt0pyw4tSoOuma3jQ7fIyioNNAXna5srL+uU93vIj65cp2pf82wW9gbN/dGV+1o2eNE
zbzgcpSOaAgaqEBdNNzFLY9uWN2qDLQN911hQp7fEFJHn3zbqLMjenoA8iZLoFTRR4RLlh7huiz3
ZUMnacpsTRpfLauXU9EaNvPdUjesxf5r4vZGhpGn+zld6QvhtXYXKFcqhhgwdL5odRe+NjnAgaID
z3AZAGoEu2ylHk1BHiEcMPKAdrsulPWzos6sJc5NVHWoz6s6NiO73rf0fo1XyNBxNPALa7v4/QhY
QRR2aV/jqRvem3kYCoxjgfYIMBG8kbBY8q15FWQNBGorR0qCyuPOLEjJTNBdPvRiIScj8VBXplHZ
/bzMw3mmIyITJlO30AWyI+EBe4Fi3GRYBiL9pKMt3rkkmB6t8dFJTcMcldKy9VqtBR0IlB4STzZN
7DjFdZ9WW05QOHVN7g49jWz7iBRvUxmIW5XBUk/KMabLDuVLeNP7oQZit4bva+7d+5zPYaGnJUAC
kapdx1r+FXRuUCU0md8ylPuHMOHhpwEg9/sA30IL4nDjQM6/R3SF3Tl45QdtZzx1bPkIznd+0Evg
ecHmIQjxHGwPuSAKFU2YdAecB6ZHmzHFFcvAeOC7b9cxMu8kxI6KOTQqI7LOW+HqcHghrE2eZB0n
XZlA1T9p3YfIfwJYVHH8m1+g/pud0tCDzCccUKqzFaxkhIHeo6MdOv1okmlI6P0s6xG7/MTYFfEx
I3LZ8Nqdl90IrwG+3XCfeBAp/rBGiDxEVTwEbq5PwVJ3cjuBh/bzW964lf5G+2RQRzmwbk5Knphg
JhWzNFkNNi8FKAReGzADmYdNGlTg18INZSMLfFMalZrAnRbvoGIWaeToPkn6lX1I+37GpjJq1boW
+xitA1qhzoPdXxGfCgEuJAGqBKoXZTzgJI+MNh4a0OAJBVFZ6+FLMBKfTRW8XfBuu0mvXtVAXRqh
AN1owa8sNtbgCBtESLEF4xsbsxktTBO71JiXga3cygp+JkPfh+RN4+RFymFahmpaMQwv3AU6Xqbx
06I2G/oCP0U3vlyHBCVZsekaO8ORI20o8xKK9fWdJKkI8vZQC2ez8d1CxBbRouFM4f8BKc9Sd0Pm
CQ3zjfQTb9PSBTnL7P7X9tyPhi5cQwALAazDa/AU6d5r4P/Phj6kMjYHgO2/dIO+RnHsdyQjpr2B
rztldbKAoLKBI8gLNBIW3d+8gB9N9esLgK+NrCkmasIlhCn04wtoqEeURzTZZ/X9BXTfQYlO5S1W
HBngi313Sn+fn/Dw3Xn8Pgfgt0EjCCLq3ye7/vOP//M8dPj328zRf/3l/7uOmf3jO/7n7o+Jsr/8
qsOX4To7Z/r5i66v5p8/Cy/m91d3naHwwx/+Ms7hPwxs+D6g9j/8zx+mOfwwZeSHaQ5IZCFl8888
9F/mOfw8MPbbKIfv3/T7MAfMZWAUymPGkhD9DzahP4Y5kAxzT9MggpOSpVcaJgU68vs0h4Ridgdm
DMJ9y8IrrgFSA67tdaBDEvwD8zziayAG0BwOevrfDHT4cS1RVBp4qDMaI+VBczAxP8WgQpuONgjE
cEKnDqhO9YLex2bVF9D/rPrTrfl9Ef15eMTVTv+Tqf3tWiAhAtyLHImKn9etnQL0NizsTxkOxctm
fXiRS5y/eNyB23Hc8t2vr3d9Dn66HiIrCInhaY3+Gkg2BEMsNAtwvQ7qAIguBLIL6bbwMrskPiGL
msY7lKMhUgxN9Pzri/+4S3y7sTQAvpDDvc+uCfUfH9KRBJMbQF2eNjPPn7u2g6rcog679eHmHh3f
8hceBX/3lv/NLaa4WwCNMPoBNDiWzZ/3pnmapVlZ1p1MF7oH1dbzZ/ALzYba0rgHEfj/+oJpiEWK
y2H1YhjNz2laefWII5jsx5rw4SZjmlW+nnOc+zH5AHg6ff31bQ3/cl8zDL1JGUpccEV5xH7aff0U
BpvgV8d2cKMqlpRP0f22jYFFoYzwYom2IUSt1SdXzih8HC3tX3okM9ayTtXWXy2d7HH2UbRAl6QL
rChdT7fQSd17H7G/WQWAB39ehBlFmBfPfoJPEw/7T6+37xCFld28HGkGlfiZdBHlN5NoA/Dew8gq
kBfheoab5durF0HDZzyD/pGgCDwC/UjTczMhGNlB8fooYI6mRZ1e5ywgjo08JSzJC+z3rj4DD2kB
TRobXroIyiAUSrqF1RJNQkK5b+CM+2hje01deEGlSMxuyYLhBiNX3GM4p+6BNzns7M3YgX5iqNo9
4gGbszsAbJG8MTF1Dyl2ibQCs6TyowwseSfbOgfcde3WT4ZLRBBRRXoihiICkxJ+wSp1jSjCppHu
bk5ym7xxvV9v+6BuIdxTNBM2T5Ko+LYRGN/hOXV2cg9knd1Drkb4h46P+nWRkX7dTBCfUiDXY+ms
1a+si+1DME1Ivefjhu3LQQjZydDQj3CG3ONg2jAqOsv1a1zP7pGMJHym88KqZmvoR4TDo/7U+9y9
piiIlzJNQrj8E6fucUkM3qlWCbD2dsIFgZHwlwhymKkWttKP7YL7yDaL+2aS8HnJ8aFtbMxfVkDN
H1OSusdGTPkOdhuN935oZlbmjtS6mADSP35fq7UU8VLWcbMud41y0+dWDqQpEoo3G3nERw/TirQ3
KntUX+c84013Asg7djPKvZwtuxlEwrsaOuML09hPqxmZHbfrfIJ1Yvs0+ThMTL/WAu20GLv8Nvcm
f9EthMUi6RusDDCYpExgzN0Y1NiIh+jBPSyL12tlU1CiUJEm/eqcBCUvBrUB6MZQAlHA+oohokmY
5+Ac8F5XtC0FE4M5frv/iZsprCWWQFzL0DUzUk/liOj/5dvXoPvuy84HEvvGVh8J3uubOptttYo8
30PYxwKur49HitSNPsJg5/wGXXegSzutgI1Gx/LHOMhCg7AyqjR0jy0L5GWGf6lpwTpQ/k867QN0
anxw3O6hlPuCxwTf0LdNGJzWcM6sQ6qD9PV5gg1IDj5ArLcakV3nj+gNaFvUsEx00ddI0N5GwHtf
Acivny0cPFuuctqah9WTaH034fbXh6nv7WGKkCwutkANBQEnBWMGsC2ijhT3eXrWMa8RcvDoF/rc
I5PalkhZuxNyFwkytDK+UABHpbXrkefe3cxicM8pwillrTmacYSeLgk84xKFZvh+CqKx0sgnFrN3
4T1J6/lxrcdJFDO39MMMlj7B+kKqoxR5424sEKxjwgbRFRACBzgdw3ZhZhGfUciHlxQd47lv6vSi
gz7nEGMTfxv2a4cP3BHIPBtsyEOvt/lz3qAFqmBKiabC4s7PCUeUs4LgDSItzDL+EveI7lUhSd5i
EAgpMc7gYx/CYZUtCMPjiGiBxRfGWHRQNLGkvKLT5zrEHwrsy+4RxxzWcsT7ujmmhOOU3kxz8NOs
X2k45y+dryHFZoJ1FAEf6x43V/MXB4X7opNQv/rp2hcgLvzRDUy8SJpiwxwi9Syh6L6TBulhkOcU
ofMATUwD+PHEdA47Jc85hN+VDc8pOvytkX0FEDoR+zDuGD1T8H/5u23S4YfOELKdNlT87BSj847X
MtST28eQ7NQ5jeL40yYsTXdQus//cqHNJOsTkjPPWV2P/z9ONPKa2RMQSpXBKltPNF6IrWLoiT9Y
0n3U3ztYTcse2DomRvzoTSc+GuGYtQn93ZvuM5J8goGPr9c4scxb5Poi/ilna2MQjdN82G9saNoi
EmpJIFEpctu1zYJb13FdbOAP3/uMDccm6dl9VsdBJfFUHUD9GFV6yD+viKeiFtEzZbfx2pBShRYf
K2KBZte0kBV2cICFuRg2+ZOPJbsAAcxfDBw9NK5tOn0OWpnfUo4gaKHSDYtmXLBSJhGwCvz4dSkt
oq8rUQ/hBZM2sJeOKQIRhczxcyzM4kM61/nttOKjKVvE26F6LRKvKWOITjU6wV/UqscSdLHIb9NW
A2IUkcJ+D//u6GuLfdBSMU0HAEnsFiwDZrcA4msLicOkKzFC1D2g/8ezRNexPWQe5zgmuDWHmG/J
x81LbPjftsCsXmCsIH5wXfpr0NYPGFgG0Q2if3K7LktwQDhss4WZyfS5j+FKF2FscPJH20g/Zi3O
xwmd51p1tGlNhfhkW1ctSChUDB4tyuH7ywoxi6g9jLVEJcEJwfGVAf26GVtjjtYv7mG2qH07iIy7
cGt7f47WKO1BEPkucXfIgEVxGZh8eF2jUdf3EbV41U2n8V5Xu+GSvWl89phA0Z1wWqRIVHVIOIpR
QXlggUViUbgkPS8KsEoJ680/cTLQ17QOsbF6Q+Ttqo0DsflvaYRkwzAz7IuwutqBBGe91OQr0v85
GJA1dwVeM6qcBr3WS+RWLAvWGpzkYz6Hz1DhcDwJ43q1N7DbN7yS5npHoQiBbaMex/qiGcWBabBV
PfHrJyolYKlt6bDiWvABFyQj0TXM0RaAqaCTvvqZjPLgJSQekhbuE0rLJ8gbZHmyKZI4umzWWtTs
sVWIbeKo0uARIDqL0Td7rxoiQrjvqJbFAaNkKKA4lBttgCh9AwpIlbztmgr5DhiFKVgAuEuoQbKo
Ds4KMu0FboUtEfPEZCnQWpXD5IRzKzd9h49/fBwYdhZla/Lekbw5E5juAMdqHD2YO3EUURqC0cjI
vl1WivcxplUfQFQPshwG5MRLUNZvBMOWHhux7MNAhBD9Qiivzo2nASlKjMFow8cegOZQoAwxBdT7
BhlKVCRz2qmvSCvSPbMDP+bb0EGRHi3s9WFaS+wKX3szfiWtv89dsp6wrlEYgCy4z2cd3NPO28oG
XZlOvju6hQJFhl365GDk7CUO0UqONTxNxCaAOSV3Llr6N/i0cS73rj3j5OsOSacIDId4LlmX7kTe
3i0KqEWMW3UfeC3eapIur2aI4stgOzmUsQhQQLrx0OYtImsWcnL4iMoPajUE2K805fQcw0RoGqjj
uYRF3UNU5uxI5PaFjik+kAQ6FGZuUXBoSBMELaJDnlhdEpzAU+EXe91B6gA7BM4r7IazHG6WMSIn
IC6jvptUi0Xa1dhtmtRgRW6W47Pnrq2nB68wQa20KLurX7dR167jh9aYQYjIYgphAXFcxDx/7BM3
QJg5Tjx91PRb0W8hUhbmWvj++jp/6X4YBkZCqAgp2n6A/dd+9U/hF/Cb8yKHWR/bHt5+sWRZ+DxO
hkDLA1F+k14N5/O37fDX1/1L64/rghCkmPQHzRKd4o/XRUvexnJw+uhkm36cCUZTdJNr3X7FzDSz
G7reP6Zpjb14tNcq99dX/zHyg94f/+SA+pF6SfEifs4V+ElCPQE2ckTuHw0I4KnoGfPfhhuZTdjt
Z6Hx30AbtCXXyhsDebC5f3sJ/6fY/duZxn+ao4pBxViEv1bsjh87jRl/5suPWt+37/xDtgswij0E
ko7sUvQnyQ7zVymMORYwVJ+IxWBB/0uyQ5o8hC6RxZgORGMIh39IdtE/UsT9kBaPsZuzKIj/G8nu
L89uluEHIR+D37uAEZM/Z0MStJZiBIZ1VD2ty3hLeRGl4uVPN+XfaHV/0QWvF4EgiHwc3ieamh8f
oHmwBJF/th0XBUTBZRMMzMxiDoBK5r+R6f7ytOBSCW5Lhjwgols/h9KGjjskUePt6Cxw8QbO3k0E
bKkA84VKQjTzsQsNObgNp23O/PA3l//L7WQIIUJMzzCHFB/azwpW1G6MroggHmW/Pkdd9o7BVf31
zfyLKne9BM2jDBIZpKufd1tjiF8CHo5HGq7PjsYvUx5iImIUwsTdxi+/vhg8AHw2P27uIcQmBkEZ
g9ITRLd+/OxiMSapy6fpmKCpPAvVhbocctKBAeXdubXJ2wSD9WDni3FGtDZGdV2Mbb7B8FOmM9U0
oNHMIoEwTy2ZOi1rlqPqHWwO3aVtIe5MUy57QMWhhjxSI/mN8O8pkl38KZLrQSC28LVPgH6heA2i
FxhhOA59vnSVIn18qTGFt4prFSPP5N2Ll9zg7BOrgE+amboCBtKh9WrFO1SWGOfSmfgNDHV6T+de
PaaUyMImBh2smMVlsT0w7S7n1cAWTJQM6FWi2LaTYuJuwbDEfdx1X5OsfRya5Ld0Y28QDUHtikkx
Zx24D8KivEJ6Od0Rip/ZxXJDybaNBzVSWGx9iKJPrl9MnSMRJOt77VNSNflgdknULbt1WNOLc0ga
5CTl50jELxkJ+RkZh7nEeDENNsx+iVOSP2PQUVP5UMrLBiDreU6TtkRAvQRmiAzPgErNwTI7bsgz
7yRmmt71Ey2XmhcBR3NyQ0WQqt1qMBajFKsX+WlmcnH7Zsjy5zFDiVDDiCgj1mS3OpAyuOkxsTDc
9w4k5tsE3d27Wllz3w8hfg5zLnoeQmVvWtMsR0i7U9EYM3f4VGl9w7vRoKIM6C7qR7XvECpDuTfK
h3EAJyxXzIND8xDtLaYZvcDAhOprR4x5rptoeV2aYAxBrvnwlmAK7TOUgm0H7C8s/jNirrfePKAM
v4XoEX/HzJMlVkdEIcO70MXpseuxFr6x5svcw5bu4tdaGeoL1SwCwZrYHZOpyd9g4oc8kFibu2/g
+dL6KpoWf/czfD6kSMQVmB0CedLRBtGGPwh0xOnShyab9sAb0czwOQPCEYoPclH1Cd/2zllxBvaD
6luvb7RXb2UIxYVYSVCB9vZmnlJMDAPzDKNfrG8IX8NDhPT/McRwXEQ/5uRE9TTeeLBIkGCQLbrv
PM4NrGg09QXA6OBNzEf/EcheULZ4aG6tkARaUBodYgfUKW0x36aSHTobxcesGoMRVxMK4CdwRxJf
h2zzPYcyBEqC8VemZnBBTOQHDN1Zb5wEqZINANvTnEC2sgHHs9+RIkpAHSQc2Y+OKgy9Sdv1vEV1
eOvgr+y5TPOXYRgQMlP4HY9pVn+MefwuDze/E/McPDbOB8fIxh8ylOUw28WTGoIEKg/udNxsZzSH
kLa4MsWWkBkz8ayq4AjVZbpJTHoa9Rs58rbqx+1zI9jEijpQvmBc2BMnYtmFJHjj/LKf3SCOkkD+
GXK9HjaFHysQp31rQpJ12J5WgikhZtgv0RB/nGx7nUEJTgXSzKhF/AxNLwfkpGDP9JmdHhai44/Y
t9mp6VakOUIkWxzw612NJv06/UhvF96qOSpirv3bIWTtLTak7QTbAMMQI4qeYp2QVEOgY2V8KJHW
QJ4pqG8FghU1DgCo0AGILiHQTLZd2F+mjp1aG71VXY15JTzsS8HMOTGMVNtGeMUVYXeCqy8ciYRy
A4icYf7CRyRA9SeI5fZeJwgtFBRdZoUtIb1vvHS3mAfentIuMscYM3yqYd3W99/yPqiGcOUgl96X
bYoHqCC9k19zSdp34ToGzzzbkjfxJgEYtph0hdQ2oBmk8WPIEPW8S3usr9Cl7jNmcpB7NfYtbnNf
KpPJF1rT/ggMcICWadqlDBOXlDLB7oEWsz0sW5bcthC5R8jLm73vJkaOGPSXluOY/Qb/E8Ebizak
Aq4tT0yy7LmdEOXpaYPEQ5T4MrO+OUYqicD+5TXGewzDzYAW8UhnSu8RO1XQkYX4wOiuE40/tB7R
rcnW7m2InatCOpLtcZPa55iJsKSIYSGdNavoKRmBPa5d9272KvngbFpfUpNu7yaAz5gNvjYIYRtz
WUI971UnsfJ8Jo+JAnHcplhkODy/9mqKCo4JivtU8OmE83E9WQwXLK4JjCy9QSgXvHwVtdPyva74
vyL/74p8DEz+pS3/x+83/FNf8P1bfq/uMX35HzAsEcqMUK0DDUT/+P03LBB4df+AJ44OjmJVoIf7
kymf/iOCrYLvg6MMuu7aF/xR4Yf4tTUYg57Bq08w2DnI/5sKH78l7ccSDgL4tTenEQ2iGCMDop/6
czUtm1qXvHmQChNq8jIOA4c5nUJhUBXXSfIGQ4XMdMAJ3RscU3mY02JFoqBU3A6ru4wxEMoiU3BI
IcGqOX6sGUYqu3cUjoQKyhSFXgEiSB3F1gfrw9yOwecu0CsiCtnUNwwQd82wMS3hIDAep44Us4ch
T8QOcw3luZN9+DWG1IrjZsKQPXJtol3KxDlTyYjfHCC20s0ouigwoIPYhq2K8za4B2iNRDHGqi0Y
JgjTUBVbqw1wnzghbxG4/oSRaJBRriVeH+fZJa1tc2q2Td46lTSnDMbAh1Uu0S4JNBJDpk/rx/9l
78yW40aybPtFSMM8vEYgZs6kSEovMEoUMQMOOCbH1/eCMuuWFGKJt/q5X9q621JEYHIcP2fvtVvP
zxOK1kndUPhFQSjMsWw3luCMV34/d3hGmkKEtPaTUxPliNuxcHfx6H4FZtd9krz12ZVDGkEoU+Fd
p61OSahSkPoslQpEEm16xjXBhItL6l2qcKl0jDa4E+o5UnW10qjhejprUXyPdicCmgVKkZ43P/+Q
Qpo9zeM0PdNFMpyda0/6Ia6sYRO4yDzXUJhKY+uRuRCvvNQST6qdcLdC55FrxEvlUZOVzijJ8UW/
xurvX/v56KHyLGweiWxOTYYgU8IGLXOkbCkNPPUZrXdDDdPyZK3RgpdTiIZ0ClO9tzZSp01aalny
Bs+Alnuc5nuZ2iAmY/xMTpP2YV8n3m0z29jjqiSPQ6gh9W0OofKoavw8etkYt3iZxg3KctrKtqcA
JrSO+zrCTQsnXhqIngamoETVZYKnDwogQNxKExd2DCb/Uq963RNHlvTRF+vAwdjjb7gQtliXQ1KJ
GztvkvowV6lhr3QrVXG1SqBZt6u+lLTHoxx8HphLRCa4rAzbApMzc/VuexkvMjVj8O7pUadj6GlT
IB7p3ntsDmqpI08I2DG3esIuwJrY2YauiYL5COu0peMv4uS1bDwl1rhOcm8FyLjULgaHYS4F1IQV
SPPTi6HqkpMbVeOLWSauQKg59htFU1wdpljRb5UItHGlwHpL9iorzHoPPL8w4CapzliPlKbdXm9L
Dz5amt5QNxnzOmkG7Bp1S2LAro58D2avUCn6wmyp1EQkhuECvXKPu0mzKfES7iayvnIw1jpcjnmV
aVUQ3zD0TOW6LfvSu5zI1bgqpLOwnLw+TGIrVjxxtjasMw+tRqF56ZVW18WwHaIImTF9PLcNy8If
n02Cq8EZTg3Fri6ZrnXZfBv02jdtDireKc2tp7UPENy5ImFEztsOKj3+ChIhnqdoqft81ScP2KbN
egcPoMV6rC8DFjJfum7PSqT4/gZTfQC+QeMzLQr4iYWemCM7rcg6WLVo30bmh05PY95KHQmfLzcH
sR9z1JwIDtQU+kIzTpaU+uUMUeYW/SPvI7LBDA5zzGrm9DRtc9VkWLss/5hpvsLDNGrTdDEZI5IV
C6l1yJHyne9HclMYMW6ulHtVb2MxZyGkV+tWE0pnJwmGLXSDzDzVbhVsLD/Tgo2WgnqFGTkZD/hT
0xAvv8l9zu04+9o2Hu5oJJ2fwEsOn6U+oXVva9vmXUPmGNJFtpAQuwg82zi21wVYablxExm3J/4D
G0+Ehilh5ZiuUPHK9WfapbbUHADpClmX0FeZIlgmnHo8TyapL/HKcduYEfcgsDw1rVVvoq4cqbBq
TJ/2JT7p3l/BUy8eDMVmdRjnJ5tHmMaLnOhKQmY1964/ereukxph3EUq7MyEvW9Q4XKp5s7csPeI
4ItM43RXRdK+KkoTGQ0q/NK4HNu6vpy72c12flOjd+6m5xjwFjhSN2VSY6RR4TPd1jtGTEM29Zcl
SuurWRnyjoY8ou2a71d8a0zMmZCF2IWa1b60vM5zMNyxNYqOmDNG/8r2c2P7o3Xyf/XUB/UUrPCl
6/afm6b/Lwb33wXVP//mn4LK1//iT9Dq1ql/wEf6lGf/FFS+R/q76dIXNUwDGBJ6xX+1TC3jL103
iCejfLHACFv05v4pqJYqzIQ2tDQ4CSinD/nfFFTn44DAJRvLosnoIDhiGnHWzYzHSZ99Ufd7VF9x
x446YIyLdCa4oMkQYFxz2uoid0GohkHy4bCFE/y5H0cNB2PIJzIL5aNDNsy5FLCJZxguU7cbe3PA
38RoykjZESgIOfufbsvHbdu/D0V+oo7kkf7weW+4tbLBMEqn29kGWgkWIrCgMhEsVUbzQVPzvbPi
UgYWClVu+vloZzaQDinb7qDgTOlusuYmROmY45HyPkpLOesQ/zgra5EZ0oZa6uGzCzgNoLcLhwsY
pNRWgzJvcZa5b2zXwriKlk6GpeHHoOISWJ8+GObwDP529yzcmviXGY/+lhfSISqJLNF1CKttdwVV
MdlUONX+u3wqTpHkBRLaQDIgC/ktD0vGviWHJuqXNpQLec9EPIOHlr7eJhMlw/Y/PydnLeIfh6M2
YneBNBlI0HLSP83lHKZeVmJ0/Q6gIoiWvP0OLO6NQVy5YudPZZP9M5BCs01U3jtP5u+XEYKeGSyt
dnDq+nkPPErybPQtmDOZ7jhruKcFNyv4qJl/tm/6cV4mYl9k/XrADGZ5aH86L7unkcKmp99Z6UBy
hKZdwBe/VoYJ10dHJ/TfX8Wfj7b8mp+OxuwIqAv4/50/jDQ3gZfEA4NwkS2Rc0HQrdo8//rnQ56F
PBCMyoOCgBoy/TKVcc+XMpUAaMJICXIocZmE13bxGAOJOeC89dHExnnYN3f0S/x1U9jy1e10/4gZ
ed/HbQ0hJRgwzJvjqh098Y2+tXZQyGxpQHXN/cJ8wmkdr428mT9YmIx37j9eCU83XCY9JGWdPXG+
pHdZ40rZoXW085WtjRTX0+QMG9qVC/QTQo+AXRtaXL2NWUz2Fx3D4A2+RnHldTMCNhEH1zgy4g/e
Befdn8b6vLzhbP3Ns5+WBaTfzPhjd1h00JslTpi2ePoa3+3YOcbyE0xiYBSjC9ekLubqCFGtvZAR
vouwnDrkakuJaUus1ripVpYhaN9V7J4rM1anuDfbK9OdtQNbevJxhg4oMKXbugE+89gjg3rswB2s
AysFT25r3pYYiBSwUetv0Dgfu7wlgkajrdZFTkA2AoEsdv6pH315ldvKWilrRt9i9RgSte66DpgM
NqkHzMnG0zUhJrjQMQk/aW0z7LIq1xbk61uurLsOvw7exDjfs/nsrvnL1d8F1X986X9fZvA1UBjw
1jOE/02Ojifb6Z1xuekyudLyPgFbrh+MdHpgoy42fQ+968/vx7tHdFisGfQwpz2fWwawvAAU5N2u
jSJsmvZSz38LKvuitSo0a4H7/Ofj/f4V9B2P1QbA1yJIP2/UyDgYSOfqux11uFiZDJMO9P+sjW+2
KvzzoX5/TH1mAK6p04DSGQCfPaZx7wzZONR8BfGHnWqtMQ712HsfXMB3j4JygTKFREGu4a9rGqxO
rezgA+80t9XR/XmBtoc17t/8+WTO2IvLOsbZoA1ByQ99hEXt1+Ogg5oNVwRyNyEECWtDZlt3KuPQ
lWQ72JEkegC1G8okKz62/lNrxrvaztOPliWLw/w0K/3xMyhhGD8vw1/DPmu0NU0NPWjwwNdNhbdB
ilhsozHrtvbY0QSziKw7GBUMlVavvxf16N2RS8qE09GHS0LNrCN4yg9zfN79TUsrEW9hQM169lmJ
bU3DkGrJHVbP6qC3zibQexTFVddcRZIuUOL14nPh8CoDClbX/eKbI34Qfqhf1aFXFd8hXQ9XuT8x
Sxi/MAU1103aiXtFSgDyy5TGOYj2Y6WAIendR8WF+e4JkGGG3IFsOzqlv95bsGFBqfyRi5qou7j1
xLYf7fhTwiq2FmyJwwgXx7r03I4vVlseCbF7YWz5gLshOPQiita43IdNotfBbT179YNvz99nJyKu
x0+C7ShiFY55pvGt6ApyETBGf/B0Lrf9t8fipzM4ezrHDm5BXCu5U1oWHzHrVFhskTcjHQ472mor
q4duw5CVJoUa1lLgjv/zT7Dev4hoPFAdogQ4f919xVqinF4u9JgOLgaqw6+UVTeeLSuIVvorTZvp
iTZb8k0uxPYhXkOhS0KwdRAKYrk1dVmHcAe8Bec1lkz0e7GmqavvJofxH50Y47uqDIOl0rv3rHzj
kPcTMql+QoYOZmxw9AvNMYr9XNcv3qDfu4oDQTrq12IMmE3/+YR/L92gDdB6IizVcXV2S78+NEvV
A+CCBaHJiqcqAmmVFaE2o8euZ8fa/Plg7yzbyN7o8FPX84fPo7IkFMmqZdHZibh6C0jK5Ks9ZIjS
/lsT2rLAcCTkYNhYXOYGZy8zJIAeU77Dk9TGD1B1YjwzMzNFPBpgxlQOD0l3Nf9IGNpHkbDvfAtd
/G8L65kPE4X3r1e0i9MGJpAudz0d4ajzbyavuUNj+lZ43Ve2vO4HH6gftefZW+PqDlNOAz8vpOuz
WwjhRE5pyiPLNry66y3qHhVZoaqSYU3Q1nc9wmKaFlMYK0FxY/toG2l1hTrVyp/v77sPk4NfxzMB
6P42P0n7bnCSgfcXFX8X6sJzV3aC0FVL63jtJNnbnw/3zkeTQGXGSHCecf2dr9i0BPO47CduMs37
XYzuYj0T/vHBHvHd62vQyeBJ4vLa5963TBpxbdhC7tgjE04yTDBPKqZDbuRrh1GCE4sHOCRE6RSb
MYpLLP5GsZkG7TTP6JL/fM6/b8rxaLMrZFOOzOg32daoemcmvJkfMwAyTWIv3sp2BpKn4nVcQhkS
smT27TE0r/Ne/+AFNt57gxcpFd5V3LM4os4f7iEyLew9O2XYyVfhtRoTsDburvGxOOWKXCpQkSDL
dDwOajEC4HQtnFDPBJBYGvxJvh6J/rkcEgvljdl1PYPhGAfKn6/SOz8TESh8e1596pxzKWjCsEA5
ldvs3Clqt709DxtbNsGGWj794JK8cyi0XjYiM482nH/e+0kRoaB58JpdN0conizl3c5VUjKFcPX/
xWktdk/EkUtL7bdVTSwWIOHbzc4x0/YWUqa7rZUXnQgvevnzBXxnEeNItEUoET2aWsur99Me25yj
mPEHR0otPQ6jrhL3ZQyqmK/bvALxZ69svJMfLB/vXkr217aL/xsF/dmiHcc6yM/EaXbKNIZ16Ux4
Q7LSDJmnyQ8OFTjvfOipNHSmygFZlKxYv56hD6qqj2eDR8QmmXjrKgXdNk3scQ4JCqmKtdtKM3Sp
yZFXWMOobdk59tNmBiJd3uJI4uVKLXqMh0iq4tEUA64MDEc+7NkC9hpWsCZ5qUfgdzmpDHIbJwXO
P8kEDbYUp2StPbf2/TAYnNHY4ssibNbRkmCXqtabNzW2gwxtUWI8uL1JD5/Bo2NuyQWb3I0F8Mp8
DoDHld9dAOJmjBxGd5PTlABhXQglbfJJFrWhDgVUIeCrqVGScKEL41jO06TtZJ8P8sopq96/tJlb
RreuNIpqy/+tjSjPoKhOq94OcvIr8sGOL32vcrywX3SLW1wCxf0APDI6tpVW77FdVdFKxa0J9i1J
H3FdWxCcervODsR6xGLt98TrLD4MxSgbCnF7kQ1sJzGjoiQqdkiHgjyEQMFoqQY3pp9KTUY6fYdS
mKEonaW4SsnhfPFArKqVh+ttPftk6NwLBxvKDjR3pm7GyBvuYUW23QarYODdEVjowypUQ9wfKGLR
IflTkG5t6Czgh0U8z2tMjsGuavlEbYpoaf/pmhkQ9Swd/xO8ERRJRVlbEOeSwUCWIpx96fe39Hm3
/eCIJ8h+xXOh+fpdR/rUKiqzCV9lVmysJrhGBbetGrmdEq+6g6u8Guwk3mCHTnemnY8kCeQlk7vh
aA1qXJtCvmQ5aTdOb0Zhn03WFoTaq21p42YAK8RvaL2dK0d9E9ipu7PxeqyomJlAMoA8SVtMX70O
e6DdKwb53vAyN66zH6wJLuqkiP0uHiEfbHDJNjcO+s4NnNv0Jif9YN3rqXHyyyK5tEbuB7sF6GJY
b6fZcnaOZtymKWL5hFn7IQrsfD1leU9RIb01UfdOKKU334I9OTSdzUxrBi+Tzvk1+Ln1NNrtMUf3
GOLNhJvbkceUQQ9c514ONt9K8NKl/k3k23ellkwbY/ST7Ty381ppXR9GJm6cmdL1Dm6p+FL5Ur+o
Eg/lY4eNZtK79s3VmgrfxyBCn4b1zqtr59AirF15REIdCDczDwRg+RuaFEfTQLrpCGObO+q51Pvm
GYPxHo30PRFiz84UVZtRR1zW9tFzCfOw5Q1EMjb0XrUdNKDfBEU85IEfHWVkQbiPa3+jZ7bGfWjm
lZ0FCLbZN9ylrTbcNHELZKmf+C5a8gJOIXPtCUq+0kB1NxhsfatL9wTvlPuq9Ic3W4JjApMOHjHM
UWXPat3XDSngbM1NvY2JikwDQMA1AWcrk4fnCc+5NYVewz6CjymLRBb342fBtb8i0zOlPRJVKyZ2
B70nkFWruxrI1+yf+F/qzcQLsYlQwyh5gdQ1HuVnaIiehFFoRoQVhbM028+aYW31DHfSSjP5zTtP
M+tvkzfnYm/lhdmHpd9C+1O14fkXmuZ22Sr3fPy/hRoc7Uh7Vpc0aZt037ZcKUa0VRHOfjk8JHT1
b8wiMx8iFJXpYczcduMEaXNljKa/rfFYAhBqaMYlqdS/unpEPUl/V2y8WS9Ogo/st45gZHdTKBBr
2eik1sVEwvW9PeTRW0Bzv19TBeCHEtGgh7Pyp0/Mmcq3VrQu0bWlNL6QJtGGbNGc66DC/g17Cnst
SYS7jorlwVd29nmQ/B2FjGeDXb05zkv0cDpBOjDhij3RhWMMksmESfzQ8yQkVtA8kzHZfGuEjVB0
0ppnrwGTBsa6I9B66vJtCiXuyakb6FpePY4hhqeyC/tZ8nIUpuasc93Ow9h1nXVGwXXoGycHsjyZ
2M+6oN3m7JvKPeBN/vsO0N5jE43xvPEZHpOLGo9Riv+ZKf+6ZDR4EHD+l2dQG48xian3epkUq9pr
URITDCO0xyqwOUVP5EFyis2Zn+rmA8bNqR8RQ0bxdepjCq91MV/WHZxnOwHkISyREj+QuvdDZzrz
ikqkOboiSa6zUYovtO7MDY0z5zrGX+USclDO27mf8i2BrCCk4O3E10UhFncDSsZrXqKGl4q7SxO+
OeZlQFBPkoiv7RC3gAVb40GmXO80yxX0w0rt/ISLqrW2Ak5mNrfCacVXLNpVC650FgNu9QzjKRXf
3plK/qyG7dJo7eYoDOys8yDF106J9hnBormZPa/5Vhtx26xm4t3B5ULqPYKIVbs+6ORrQHjbtT03
GuiEOoivp3Qh2I8uuszXGfOiD8/OhEqHl38EO35h8FkWIRDlGHk2EZgQwRIczX7fR3JFHiuyBUM5
16lTR58EIiSMq339xY3dPOyA8YHhBVhorAafItLpLROlr98cFVD3MNb64dSWnDy0pOmTT9gHeLIo
3VuCfy10Lb7ug8adke4QHLqqsIhd21ZTHAh6X0yVAU2cMM3H6IhwhP8gGgIfiexYdGE2i7pfzbzn
tLEq+aQUTWvkUPLVi21nHUWqOBhttzzlfSJ6Zi6mc08iwIAavevJYqj5kYWj53d+14oXK0vcey2Y
GxIvqjG5JqcO24C0q/a5aObpxndl/6iLKb9Ll9tttpF/4WQGaAt74EC5hlPf8/DIUWQk17bkquG0
VDc6qIA3fa7TnTbZDqTo1o/uzDKzD42eVBeuNfIX6zm/o2SfPiEBkq/zONjacW5piW+0MlFvnqDN
t45Q+i8qL0OS2uBqY7V2tdqrWMnnEj0K5oI7O2HLtRK9bNShHFCtce48STMyD5Ze1+ZJY81Kros8
qw1yQOb6RoPTC/lUFdxrnaBd4PZW7VdrUjzeal9jz4TjEmhhOWLMrDPj0Y4X8sMoje/ukPWItc2p
uWW1mN9qEyns2jUrla/bzOm/k6E6O9wzj2dfCC6Ly5dc7vQxN9oVgffGw2wW2l3Q6axmnjt8n4Tf
3JK2S+O/McVVNyjIElnU3BqdH18j3yarPFjgHAvwhHUMV7jyF1CPFndPTZpW+m2r+ZI1vs5L51Cr
mouHTeuSPXG0FdipWcSALdE37Sz0hZHlf5ml311FpYh3AyE0exvG/aHhs3lhtXberxwvTm9cW4qt
qGz5qRUD0rA5eYO6wP9LCiHCaBDWVyeIgasJiAHCVhhaLYjkzmC5O4PrtWKiaYd51/Iedlap7gix
XeA77BpAQkINKRZpj1bfg7u8HIB4MIvUU/YykK7HPsgIPPOPoOGI4C1Fy2FReeojqpjEK1k3rJnx
up5ql5MLp7hSTnTvAn85BBPGBxbdcl4ZFcPGBlLPwUm746AUYGnezUs9HtuLKvaqY5xUBLoQCrqd
AFjA7IhfyDlpDmRQT3d5PVivQEKPTaobLGk+/8OSzaZCRIqM0z7B/7CfqLfBBZLL+ZXAW+ZMdUdU
iGYemqj2mJYlFKRDVqsnfxrjO71Kxq2HAdOtiyYMRg0KTNrUe9ibL/T/ys9AySGseqiIWGAIN8Gf
TlK0p5SdLNBhecg1HYx7pCEaRRa4lX3P4MvoAUqqcbxB/QOwNcvkfd9oLktdEN/1koP0TuTd9HpQ
YQWyFJzTyH4J0sB9dGVX7NPUe5wyvdzRLk2oAynloBwqEhAwbV+mPo2b2jAPkTUbX/HsjluAN/qO
WGviuFPUduPAy0jocweNl1ZhrJR7oriwnzLbQa8+1VteJxbgGjTIKnaxqQdkD79BmTafJqgUV0EZ
zKgWSvsBUHAG2yawtw5r16mMZPFoOJ53qwbukgMEh6Rk6sIVWTZEvU6T+D4zajLXIu7SqybjMUgr
7HHgEyvk7EKAFLER7a8ngYqKAcIqQKy17j2Xgh4x2kumpvwYj9W+y4ktWjm2dlHjGbiddfMJ+Em5
5VWE3jfj7GKqR0Hm9Vel7USfirymzLCHLSQXPVsJv0vvfL3FJ1Va/kmqdEHOJpsEL8IKpr1zXQqH
iLtkDAyGFsV8UKoeLhffVkWNpuW8cG51FPEErj+zkBA3+GV579qKbSmJUYtpvx6HS1CS2XMJP23n
GDTgaa1BcmhmQUujTzXwQGCsLxTNbHZ13gBivG+z/BiMqX7nePaxzbxpHw3deiDI9LLgLp9kNYKK
tWu82Ax4iOiR3QV9X9LKZbYn+Dp4DpiZss95aesKtW3izOtGwIrPvCrxV8PQGc8TcJ1DbXpfjdn9
HrV184WKtfhSgPNk0ZLImAtH21o4fzad15e3CjhwWID9ZOgddAuDANgo5dC0H8xySI+k64x2OHi6
9PZebuAXJniyvtYIbUB9iwHumvZNjRTbz3De9UShzjyjTkY4albdmo1f3ropfWQw5iygpFV3r4U0
9a8VkJFXIKUAuU2kmtcNKoCjg5b0Xtkm8s6Wiof7Ro70Fv0fhoZBc61DIeBXzAE5qXwt6Z3NEJTw
1tCQPOAKBBSB26EjwSuxMRYCLCrzunuVvaSJIFVfvuVghUiunLvoiy4z4ysJcXzpa1tBq2im6IuZ
g1Bf21GqkRswR/JVc4SG6WwmVH4z5051XzQTC4NMprHeenE31Fs7GOlo9FPC45GQ6Tqt6qqo7xO3
z0kjgp3/xTEc/k0gJkAYXhZAVLYRwcLtseCih4PkV24yB7lUWKHS8tjETBw0A0kgT+mMiSSUejXg
QxrFmMZbilf+8qwh9z3YI+3HMLFJ9txBxKQE6JiQgsaZyuAiS3QbH1RbUrQWkctd0kgtdckH66Mv
QzsgRY57IKqrKHbKN7PvOWrfWICaRtsKvvx9MZ0Ba9MKCZKRrmepo0zzjHmqIUa49c4imnxN3JnM
0X4vTQG8x9W9g36s2hVpRrsHZQFuTUjq+V4YdIGuMfBNxpYoJuek4MveOyOKCm4h89b1GDWcX+45
9ENaoefZSaJiGHalQvhxGQzd8DZg6+JVMh2RXLqaAd1WDeau6qvqqTQCcmu9oCGsBrDew5gIqfYT
bfjo2u456b056PxGqnJ+dVrhRaCdNVUa8z+sRGvuCe8uvf8EthgQVtgU8Do7FglTvqbsXgglHamI
lRzk9zSTWbEL+rZhgBGUaUbITkpuQgGwgnqX2znvK/p/xzElyWzFc0hF5yS2yA5ImGmiEP0CTmvV
pMCFeafYcPMR5vu1htIAubuCi16uzXmai+tksEj7WkrIwqtMcMxoAz8ZGbnyTVHrR2bS7X4se+u2
jP3pAi1T+khixvhpNO3h77b6/2lQP9CgQjRd5hn/WYP6lMpvNRbZ6mfT/j//6l8qVPcvxGwmb7uJ
yOhvd/4/KtTA/Au1Ae4dNpD+Ig+hpfsv4773F6mhaDQBJy6Zkz+pUG0T1qaFlIxpC+rNgF/4L57o
P5K3v6Gp70vgfh1KYTGHAeCgc0UrydPmnismUccStOEk7ok1q93/IDQ6Bk/WrBRsmq6Vzge98/cO
iNYKJRylH9Oas955zlkLk57lCVmlHxrDmO7mgB2Diy1vH4NS/CDq9te2+d8niPmJ6wWglB7omZgi
yNxZ4oK3T16duC/McoEwZRnbZWdIdz/d+3fkhMvs8t+jxh+H4lZzr5FHYMY6Hwu0CYydPjfsE2GS
zkvqMbB2upklHzMHfM8ZvKaXZ8bV/wfT5J2z5ElyeBp85K+/jXTGJh+Uzm7/JE32eZUv+GTjxgXl
OMQfCjXPdDI/TpQn0EA46SKzZQ7y63SADCdZelNqn0hP4UCeWPhoY6aDTxw6DzdFZWUiOZa0m8ho
bDEdP0Mx5Hs5FQC2dLMKPphC/n76LtwJFzMsogSolmdTZRIJAOfHkX3yf+A2g5KqQ4cdu/tfHssw
eGkQiSOOPVfnxJkFF4stAQYPqG70tNj+dyV0xoUG+ecHarmOvz5QiA4YqYL30HHcnc8TUceA/WHQ
dBqi5E2akBt7k1r/zwd579qxCC1SMR3axLnSUB8ym3loYZ9mEOynzIe0vfJdCIzGnPPx+/PBzrKQ
l0fHRXtHFDLfUi7huWzaj+jNzXRNT5mZ5mVoDRzTiLQFRNsCdfQhhL7YLhReixLlDmyrdSBKyTp8
8DMWtc/5lbVZ9tgFL3KE8wcmMg0zitycXaTfmUcL59Yi1mYLLjTJEwrsgcj03MSUpuae0ujHy4s/
nmI2kO0Hgq/37oBNbWWjDmYzpZ8tUXkBkLTMBS/vQuHUdRxCY9XXJ1u0H6Fx3zsU+CGgC9ghUJae
zfXodrQ141jrlJL6dRcEMa8svVuWerpN9enPV/nXpZ7l27bBywJS4cvi/f74siNln90I2txANQlj
JKvtc2UVMFNHCvplaON/8Cwbvy7ByyGX5gpEE5fnbPGr/royiXxGe2J4wZGgKfqvPpvTlWzldOfi
rrpL0ceWG8uhuZb4dNZ/wFBRy+K40ip6TJj5mv3c8Pn7sYJAqhTQsggnmVcRTFCYbgYm7z9fJOfH
J/bfz+KiCwVr4/Eg/lBQ8mn89TdXPo2MqbTsoyz0cqvP9Mrr1NW2sSHpBtV6qcgZpGxsieWtM1gf
m0Wfd4uBH7guwzR+I51LbiRxyt3rDIztldhZHt0gmRc0X6Ox8i6xLcMK1gsbOCMO7Jcm8UG84djd
M7/oXlukJMCJ+XehzOipjyZZiB1hkic/ti32rVxAaJiMEeO0gNOL8CR47OZEy9bQdhuDVBeHPw0A
tIX+F4A1XgPxIIqLvQYtqaJqOAZpCSdX0qIkDk7XV/ZAScu2WRhXMql5Qv5GZNYoq3ca+jb3OEIt
PBGoBgCGzSpI1B/06DwrGpKnmEgcSyOlteXDldbMThtA9Odx+sXA98+Aa7bcnNxI3L6PlMw8e6Rt
vVCv87Tb1NUvygjkqyT+lC/0MDgvpcrNb2wAidhuUCW1LvQ2Z/SaJbKUzCzWX0IARoyh5dpQtBI1
q+ElnZaWP2QEjJs2VzRiLshmNt1FliVfW9mBQqhN46GbzcXKxhD2Tsp4fjQHdB0isLlPpQsrl7BF
+ZqT722uXAtY9SzJ21v7Cxu3h47vQuBQ1gEKKH+lzBSNzI7rZvc6SYE/vnJkxkNSli7NAlUmbbbH
rNfRVPA8nmwbYT6pIZWavWOyFCYajYi/8bvkjC/dNuVOGzK8AAw7VWFcNWnDU5NbOlhHN+dqqiwT
tC3qJbYXNIfnHsWyXmp4WCEC2wNMBZN4tWaNfjcHkbAQIt064f2r9XiZay9Y6EQrFywk4xySdOmG
Y4Wlt0aHMsfoScfQ4lmGWBI8Sj3iz/odnddJs6YbYSzknq7z8mmLuZCioyMDxFoLNAaXs1fMGATS
0nkZajiUbtIHJlqCFm28o4z2HpCTuUd1GnuhGbv2l2oYqgd/TtUleQ4gHqCiM73WCsPfGqneHtOC
HAriwjiMxEm0Hqu57kNdRu4DnY6U5qrrVzkOrUxdQeViHm8nNcC8PAiWlBdrPdF+W6tqVkxDIU5g
XRbimJOPQWXk5niBdVnddkKC1syivvxesx18Q1BaHxyTDlfAuKNaK/rQpCznrEzruWDhAhYP17DT
lHh2i7yVW+ko9xudCSMEFVld4CRu4y3CFW9cBQhwQyMj6HWo+/qKvDdjJBhXJl9iiw67V3fiEiu4
u2sqBcVYdWh0CEJxGY/il1VoaRi3jPWRHTFxM4yp5y9V0aDHdExUAQbxdqEfOcyp87H6konM60hC
S2SYk262W4pRDGxTg0akbUtt01ADwp0hArr02cqyMEWrCtDMXZ9L7YA7hojyNpFbtKXqO1ilcZNo
qXargrp8ThFYrAnsxMNSLZF9QIGBCLQvXoffGHSrxhSceKh+aI0tMz/+kK9d2VOis/xbEeyZvMVW
BBimsOpunSN8sJxV63oYi5Y7L8YLKl1/b1pMnMKKsSpK74gD2cTHIhaIk4NfC7kuOklztlbaxizr
/pPIXRS+QyW3vZOTo5vo3wpP1vTqoJqnAYN0qSEzJLtT39EzpB9mMBXmxs/JhWs3AFqIJt6MXmxm
F8CSqhu968UNVG8eas2lIntRhNZcaQw4oH8v+O9NLTqY52i2KLBp9uNOZrXtyI/SWZDqOTAelD7z
yOoEhz22zEPjjd9Pjr7J02QiOKludByxXkSvznS0+nMEEuWGuHiNDjdA2E4GfI99etXkHZs2MJMf
pHLdmBD35WnHEvSDIfuDxq1N7KMQh1DCucNsPAwCBRlgKKfZ25ONysMxcvFZQPXmp3kDPdK8qIrP
Zt3E1HMJynHDqhfWs5FIUX5xMkDAb0oMNiRyj0wk1KCSfEJ7/F76Y4M8MtecJxQ1wQHoldyTOAsB
opritF8VpB19lUP3ktFM3Dh2GseEArJ8PBezRspdytTO2vtm4l8NLeRKF5jbJhlH4GqaO2/JpxWf
5iAmE5d0lfF/2DuT5biRdEu/SlvvkQY45kVvAjEzgmQEKZHUBkZSEubBATimp+8PkcPNzNt106rX
tZFVmYliMgi4/8M53/nS201xdaL6JxC21xGI/kPWiW7PuermgfAbEoZULb5HXRx9n5NkeIoUyvdH
3vh0I0FG+yDMXFbzfZyACZJ56x5xLaN6Hgfym4IWavQUZCABhj0+dv3OktV0li00DGceE5AFRaaM
lcNvATk084SvWtmP5WY0uvw8No31MCcMh6RhqWvB4jlYFMOfVk+0W4Uh6aPyHVhPTj2LlR2KBCa/
ZxKhETekdal58JEZ5hwXJCNDavKs4zT0H2GtDU9DF2UXQyn9TBKL/S0j2zoKSB7zl5B2uAZyMqN7
35qSczMytNX8AdZFjKb7XSRDfVe4pg9Py1Z3hqNr4crq2qLZGRx5W/aGCjc4frdwRfKqO27jvDSf
nayu931pzk91EuMHmtR86ZDXr0CPDW8q76Ta6G1rJUfSbEc78AiTBaUbDl5274w6Ygs/Vu2eLlc7
pUQFf9GTRvgBjp4CDBxZ3dle8fDcszesfxqkpp5VXfc7JoPTXZm2Rb6u/ZgVZGXQXsQcbruMDChw
wVQWpNn1bn+JRE8seZmGUIEBNjVv2dgRxjXl9mlMBMeoqU8+SDWgJcNaFMhigrwkfrsjL5DMIl8a
3sbLXYsD0Rh+VMJR4dbX5IyJP7IOloVk0Myded8qN7m2hSG/KGNqv3r5ZG36cc6COV0gxKxRVxag
EGM1zqm7NuvBTQIDIth3AtO5hzoduX+owT1bE6BKZT3Tp7DjcIlzZED+wHR5/KI3g3ZmE2ey8zKl
ufU0s3FXJUD5LUg4m7RUkSB0Vzy7P4EujAjuze4TWKj7fXDwyW/12lGorHKDoWla5cQChngnf+Kr
l6RwxfOk9m5X/yS1KXpswe4twUxtdzSHkW1KVZVyHY+JJGjObZolS6550PIhRTPpkC7qR9Ts0TyN
I3HnlQvzQVmdd4dGd1ppltu/xs4ET8uN5vRBd0NXJ+exzB9KPydKu2Ryfok1k99azgDJQvoxMPgF
u8503/q1g/3PLPSfZqF0y3ST/3oW+vyjRJjV/vjxl1nor1/1+yzU+MWhwV1GGjfL/e9zUP0XGJdI
pjGk4zDizz/moKbzi+PhzGUIquPQNZaG7jc3vmn9ghdpAR/hLceU9O/NQS33b5JX7PDMJpjpYPNg
Oskg7a9tmDs1IJkHuzxofcaRsWMpHqU9caDDQLVZMHpaGaCLh1Mn4JUVCB7WRjuCIotCdy8LC6mI
HbbFZvGW3bfgLp/HTM82eKDKdRQ5eFOGBrBG5IyvDMakXE+sV979qDQOotbBLvq8hDKOSBvlnSNv
uTuwdI12dlLiQCPwhFc+i4N5xiE99bRPdJUW6Qf+yGY2JmovLz02bimkE6uW3jvJX8WBImDeokLa
KiKq11QGetCT4vxgICbZlyR1P4vY7BGitxYcbczm1Sv7bLkTvTYfOfLA+oH/cz4gv9SE3xVEZALV
iKJz1ZAWl6WddxrTWb+qoRHrMncvvTL8s56acu0VwM8ARrPzJad3P7tcAlkiwUgj/9g1bljuhwT7
Y2NOl6qu3ENDNsDW0bg1Z9UbD+VyIpTZ2q7G7BFeIBDtUGQrYxq8TQ4cZ6UyaT81uokoUVo6ocSW
dSKWvT2odtb2If360cpi7Zi3qDsgxgKzgW1Ce6tXZ+nEpI9L1CZkvw/q2QCzvxGsuk9RWNg7qzaK
rSBPkH+1nS91L9qzm3CtsTN/Zlgzfk6ZcjbtkMJgcrP2MmMTgrHt5FtHVeNaq8fpaiWp+6Eo4ety
+kYMZbszajPds+UHmCj88GvvJdU2TUPnO4OHbDqrSaRnlnIZgJ96jINx7IoNstN+ncQeKYhO02yl
Q0DnhGsfOZstVpFHi9fQJH6Q8Dz8jIbJ3856OeK0Rja44b0ByzUNbX6a0vpLrIz0CwvE6V1zoF+s
ytnWz1oFcBNFAZYIYFsxxStshhrSIWPrkC3jnGEE0p3ygclddYYh/SUm5LJbaaYl9yiXs8tYSe3o
QY964A70qWgSB7lBbrHyTwytcPdKU8m0RTQN6N7Hac3FpsbhCHxlm5YCDss8NiYRvbUXCENS2clK
FHuiD1NaFpaNK0GfWwboKZkYIgAVYNfp5VqjSFajmItHREN73wYsFqtSnhtHvDN5csOTNPMxvquN
/MVJGvdaVPYu1DxDO5CYbIVil3c4u91V7w+l/0muiEw2UTjND3M/to+tEl6BT5eQhJNVKpZznfpi
16P52HiI4NSGENBnXKHphqrQ2ER56R+HyhXFykc3MRGB4tTXmqVuCmgekfW+tuhbvghEydm4RgYG
r2ldOm5FvAl66laDMZYK/YGDks+96Ot5GzppiewTDqv+Nsdy6AK91qJ7ObkwgRkZC9lsaAKNC3ZQ
FX5HLNEGdjL7K064VQxSydroqnriybWzlecX1N0+yUAolPuF8K53fvrhUpBqe6/sdbrPKmfMA7RW
saG+ZeqEYwyhZwBmS7YJcU8ZfhKeFDiq0cGIOzqKUg7jY9m51vfJMrtsJ8IRGpI7Sbdc91riU58Y
0OA2pZ3xLWeyNJh4jIjVaN3BXRHVzgqdci7ZcfYx3Ph1FiD8FoIR4MQUwQ260+qBNAxROURpydjs
7rJ8sPV1VfUa4VkjaZBI25wH6Bvj1rYG/q+e451rbD7jwEFy+Ex0nLhrHK1tWMs2Ug/mwh92KXux
MwJPREcJRgBMBOHaznKrC4Qy3Z0yRLxDK+7tKiKdH0uRn+YIgh85n3Z1GuOFSluTYFsNnRWzofXc
hXKU1HKtCCpedakjjp7boBEvcSt4Xcr5FTnJpomgg2x1N9Gf3LxON45oZ/LmB1tbOVpZ3pPDUV29
3nXuO0f2bzYy14mez7+bCKBZ5bIx1gSTR7uu6WbybmeV66uCFN9POckP7qjmnvG7sx3cBRvVJ6RU
C13qTzg6wi15VN4Xm9ifiwW6iMuhzOFDuu0D4lVCGNhGH3sCGD5n+DmPU0iz4DrRgaMz3CMN0V8z
10jWYD69t94AJon0QNT71JbjHeKp+YwrCr2kHNFaknH7LaavPtqy6u8JdNp2WonzodPnNOhoymuS
Gkxrgw57fsSvlpLL5O9acoe/YLDtoED0amc05byz+8KGK2cMTEJaOGFDjrTPXXI4180ovLuEVOyN
D6ZlXeOpXw18/6eRaftKLH6SCH7CI6yqIejnONugQ492Dj8A07KspwUdrJijcbZeTVMyYOltv37v
mVOcadmNH4wtqi17PHOTgS7eO600XxZ500b4xLnXUHa3qIMIrS+7/D7TB/lV8R6eFRKpRxuR0Amj
PrnYcZmeMirgnTRJc84AtQa2yJ19PvffSOpOTgzC4pewUvp9GBoM/dLWoRIoZpLmaX2CqjD1+3ZE
lBokvPmPNgO8HTCO5h3vCVRnxK1YGboLG1sk9RYx2ofCb30IefF8Z6RZ9TG0kVzVY8FAAMjvIdaj
lxBYYWCUBUDf0sWUpk3mhvlo4610Q3sdy1DfWGhj6BsS/c7UWoJ2uP1hDMMyXltGbBHWZXRfNKEY
c9LTti3l/bghqBcedz86fiCxJhJO7C2jr0jQKzEAQqhO3r3BIJn33ptNdoSq6bs1vYr9LpZ56mjF
jIMRdjEVbBrISLxVzhS7T2aTeqR9ANcmLvS5daY6udyK1v/U9/9Q37MDW7Ci/7q+v//x0by3Gev+
/wJu/fZFv5X3vk0djxsOCzNbNVDv/Hu/lfiGbv0C/AIDjWf+mg/6h9LBhLdlCsgx7uI1w5X3R4XP
avXfUDYIb1lm/WmxgnIb4IbBYm1ZCC0O1b9W9IDrNPLj4v5kFsCu4vOcNUJAwaZwSSfw1W5iTXVx
SNiu/oiV5kmw3dnwjI/VOSxqsae8ICcYibgpzo2ROkiwW4d61xcYNXINDVtLMjvncqNtSxiIr9CP
C4KiXJmue+Grrd95yT0PtBlkNjbQVd3PYlMz8grsyTbv2WugGnfx1+n4Lh6zTC8fO6rRq186ADRx
g2VfG4SlR0uj4liN2DJedck2Q+mxJlbSq/xrHnvFtRHdVzqE+dCyCdlh+QS4KO35qht5cx0jM9ya
6CAeZnxhG20wu+OS/4P3CEJ87xjjBm2UC2odCeazStLx3XULifOmCuFuz87IuoZQc8d14hfJdApY
I2uotRn1YuvHrvHk2jK+2qOTbnrd6rHCUICemmgQJ0+2X4jjorVAQ8jEwOpNEegAl5/JRYcyb4wf
mJ8a0nDoufY6I4yTTEpuybK2229EZA/UgvwOkXumxb039PFW6+L5SCg3VUjMSGqd954bgJDxPEbp
WvJI4ZDutTx6QMefbt2Ui2iOwfS1dJJ7fagGru1SnUrNSO5jowBtDopwepoYN+FG8WGFOZl4IBml
3U9ClmdX6sMJvMG0R4BhvlMwgOX0je4JQkKObivTsg2bKKg1TSy8Q1Fb6oxxUt9Kw9XWMA3Li9bp
5lM3Wd2b6Yv85yRa/Vn0sHGcbCwhT9sa2253G9l698pnVU+BHEv/UbZe8Wo2Sb8FN4TRsBP6Ziiz
eTfotrZhfDN+l0PbPhhdXZ3SEc+fTyvHNcmDw6ZJ8/1P00zJfaZckNjMZxPfJhE+3IBOGV/Kttcz
NPESOyDXzKrQq37r4dShULTee9F7d8ztkh1b1vreIiE+UMSyB5qYgX20XOajofnjBqNjegIyae3z
qPb2eu/kP1JEs4/AcEueqWh+yFDDctXbofbpVaYHvT5qyXGQg5OPK89lZlgmjsv5FcdHvJmYRIow
BWuR268YM/WXZkzHk+NnOLqtVp0Tt7aRW9ayR3ofzW9wdAWB7Xk93mF3jJ5x4NkPnrRWjbdI7Hu3
fExQAF7FAk/PbLObVqqfM6hiRunCX5UKM0g32mBe2C+t2qHExpJ4TnhAKBQehG80B3tKCbD2GLuy
Ch7lqFYOSNSvHCP148SobV9GUt/0qiAxS6v1MzmI5YCgu64DVya468jFeiiiInpoYgvjrHTMb3mS
Uxzzbo8vbRi7hIx6anpynAyaFMMtbTOja9kT91Qc1UxQ+qrQ3CEMMNrZ/bYE/vkAkNQwAiagWQHJ
iDxBKg0JYtmpQvSsUoacJEk9r+ei+p4bKGhWyinGszm7xcSvxobGnk699jXqW7QlKTkyDDC1aFyb
Casjpo+lFFtmFTNcZjrSi8h146VpQ2TIUS2aWm5zp7J1ItnA6oxc5+ZCHBDbpq9pGJZECOjLm1FX
rf6ED1hMzpfILeruSvGn+n1FekNSHudatBpaMy8tRqoKso+GpyYdI+/TirIwLkHL5PpgfylADUl3
49W2lm01pbr0++TWtQEklV9Rw8XF5fafOuAf6gCGcwt55F/XAYc8T0rMq3+uA377ot/HfC4KRSAX
4Ivohch85t/7fdRn/MKdTBGAUg352I3J+bvkkRgjHQ0EmeRIuDy4bH8UAkwBF1IX/ACfGSEBR+Lf
KQxA3v21MEBVCdfTB94IHZ254xLO9Gf/fuIkVpobbXwcOaQTjCcVaZ0ptolauhqKj9Gw2Pyl/lOd
SdxZCxchDLijbSghLXu0fWMUAIG8KneO8+xa7Kv6ah4YxOvjRbEytXZG6k7aJfPT5kWinbcDHDtR
GhBni7eacVJ/yoeCiiMP8TOvVMH0Ch+ocphgMRHgEGrI8DTmzmL9UKEGyF2z2fQL6ZE2scJg24Je
XpFnIz/IT3A/PSqRdef5uDJmRmKruGZhGUweqtS1EQ2WOPmCcUPrF855IPOI7Ad1bXFTbt0WAMxq
ynvdXKP3S57qNJ0u7E+7+yYSBQRcup2NO1YaJhhvjOxVaeuRt3LS+prbbFT45yU5jdW0j8DRHQVL
6jsj9nasSMiYiCuGXHZpO1RLMfPJbhAZOG4bX4fVueKFM5CFqdnkT4bAu+/HFvE3U/1gV5O/xt1r
PiqRNoe+mqx1bIjHGD0nEgXH3WgT660RFPGj6Wr5vVkOV1sfqK3ynDukHt34E09SvbNAcQaNW2Z3
RsHWh+GUvPaN6fKxx0l0xihg3Q8xwqRVp2Z10oeNFFV1Dxy6+Jn2jr/tQdqxa4e9FWEAvgrH/7TD
sFrTDoaBo8USqwZ/YMx48S3NWAEdLoM6t4/9wIDDZXrxlDateSUlZbwza3d4xLGLJTOLP5DaxO92
5QzrORrvct2e1jaOkWX0xv2FCu/SV2PxlDdZEZRZ3t4Lkxkwe+AmCP3s0uRpRx5ppoKEN/ZLNrJX
t1ox3k/4ptc1SAS0QvyXatif1nofRs+z56L3R2uLgyItKzKUyjRtNjrn6J0ZS/046ep7zt9/iJSV
X9y+RAaCsd2/ujjDL55ACDOTqh2ywJ7ne2vJNUzrXttlmLB2LFzLqy54ol1HdSdQ6tbdlIsVXbm1
NXjszxVQ1re+cSGNaF0HODplN48TmLnykmm4lggKdjTQ0VaT6s4x/fZI4Pi571uJ8cMh4UOSJxl4
6ajtqWd67mueQazumIVVqHWktnRfNS3fAp+/wjnRt6F7Z/XYHVpZvk6DSh9jk9VTh7GJsSkIeutK
tZZv0Mx+trXrHiA+f50WXlUu2m8FOPotkiHyjYpE3DFawjGw/Kam71pEwGxF8cW4Wn+xlD8G/eSH
+3rotfOAEHITqjpap7r1xmHYPiB6HreMnwhiySL7MMnW+mphqoQWAO+9CAF4aSbin1Q7uvAeVzhb
3thBSCLR2aTmmKSx8hznLjl1RUdZ3KHJKZN7aNeEczs+eepWAfoRxvjAMG2bDekYWFnaXtFc5pfa
syMSQPiYpzlDR4Tk8FKM+bxDFAVDoq4bEmtG52w1PaYmczg0E6Km9WC0w2Wwuq8sJjXY3XDVB/r+
khesgnitP5WphlBiLY1GpEyLBrM4Yau4Lxrvo5LkhzrO7D+n5lRvwccyn/WS8JEhVvJgx+17adWk
DlEFsCo03p26t+G+Nnr3rW34kTFi1+umzsUdo1WEccLmkdajPOgLK8fVHuePE8fuKh457/IKyHfg
MmmfiajAo8f53FMjnJJpnL4RWo0NryAD6glf6lOpO1iOvbJ4IAkA0mjv56zwI4IRD2Y9xBC4hEVK
Vm73OrahtDrUWY8RNmHCA5W99K9d6v6sK30IIoGtZSDHAtumZ1B8Y/H3VmR8F4j1rIRqCCi5slPM
wIukz1jEfUyWiu30624Sbc+yqYx/3VtOIPyPBTn0xPHCUvzMtLSaVkxZoKmQIS2cB0YzWJBJkfT2
GePxmUlJ41xGLmxGI4QurbKBR+/QdL392hpJc4znYmpXTK/sj46nn70x4MQ4MLTQtTBo1+5VwucQ
69BA91ThNzjKKdS2DIbLaB9KhnBgXB7iXOVPnpaaTD57gCJxxlos8GnP3mrPaje9sIq9wUjmnQwT
Rs9QD6C5RVNnnSKzQT3gWjVTn3kACtvXHu+H2ff9ioGVxnIFy2yZWaheQYYN545i9HEahdTxD08j
sUxGSR4W7l5zXGBo6kXHY/cuGz15404mhAEXzLk15+KBeHH/JyllCs5EHppXNnn9i5bl832huwdU
8/mPojCd73bp2wlhWKZUeDP7fIMgMmH43R8KTtuALlpMazQxtCo+kgACZdGnfFX9ZJ8IfM6/aymT
qWOhhGBJUifDJWTd95V7xN/U4xxt1TQJMtZR3oVwa404OjTs5T+zJPEtDqMo/Ao5pn8c6S15KqdY
e0xSpwXVaRbNG9PQ7B6VLD1cH3aWi+ikmA++ktl3q5PZtR7wo7X5IIJkLsNDRs7t2shiXta66uTD
LE2sUO3QekyMgZQgERW+fq7zeHizh2n4EXqx/IZ0lx5CS31ITJGPaGWUk3ZkyNE/ArLBEGUSiPpp
6ROgYiyQoOgwOe+VCxFg72pD/c2PxpK53RyqQ2105rBOk5Tlvu8W6Yv0Eoughcrsrim5XcQajaa8
d7o6P/DOYZpSQqfJnZasEP7LCS1wG/0t9LvQQkKisxwxes3eqdxKrqFf64xMJzcolWKIzqg03XE8
px5i1p60jEy4p2no5JFthLN2aos0jV6163wZMzJcZ87hNdZGksEXQB3oNtByfOK/2hq1S9utW9v2
T7lG68Z+ES7b6Kb1oXWthn4rL5F8NGnnrpJItUYATa16zSZRl5sO8x3T1FTOP0ADmeeQDcaa/emH
FcX+Fzcui/eKJeXWjHMUhhzxYbGa+qzSAlg+nIg2qWSHBEDX2Z8t9xuqo3xfxwypAxHZM/gNczI/
3KGJ7zp0oF/9Lo6TlVegMV3Jpm9RzxHfgfGL/5nNKvP2mFanq0fwWh+MhKO9936PLbe062+RFXYX
2+/8MkhHob8hA6rCDTkUimdJbxXJC67x3ZdCppuwcCJ2eVUavgJTKb9Mc+e0W7OMxzvVqmmHOFND
Btcg9kLxkx3SKHvUZ5W8ytK9jwhLruKix9yqbQZ2ZEE5df7F6nz9XrlWtI78wk3WjNfFA+ZOgnCM
yN1Jh8JiZTe99QEmWADFq+roa2lNLjDLYoCmYGho8wKjTZDS5VF0j0hu3gxQuIh3zPvdbNndeq7N
fKt0XZ0MLd44qil+xKlg+JEox4UCBT2ZJTcx7JnTNV8i2w0/HKsKt32lQ4fhtzm3Qd0wu4nFmB0i
yixU1aGtk5XYRIBZosxKv9dE6pSrZvmj1uKco8UczhUkq5c8HPPnxNbjnZ7YGv1BqE5NTUoaD7iD
jqVZ2mGdGpHYi6MHPaHdkjut9l7iM5qByZy9tuwJmlVM/hwMhcRGBFfXwtnIcJ7vMs2ojwOexhM/
YX4SpPZ8hnPSbYukI4qUUcg28s3yIPPIXKNvfqmncSDzTBjNe2RK99GUUvthoJD61Ujxny75H7pk
pAALCfFfd8nnpEWn0iR/7pJ/+6Lfu2T/Fzx8dKDs0f4c58sUnUk4kV5Mvv7QwVj6Ev2LdE7gbxBL
ztefm2MdC4vu8hfwDP6bOhja3782xwQOw2clB4+RDahcPHp/bY4b2CxyqRGOiAM4oMlWdXrss7cV
ZO1Y/ZuOVvJes+3qmsAqu0dUiHfGK3QjKH2Vbuio9ae0y8hfbHiXHuLb2pO1Zsrt0OwgjJnHbtmO
sk1kUWp7zMdXFcwBpBTZ4FIZsVXt86E66bdVa8XStV62r7Rx3g5kT7wLUcjs6BlY00YFuYStypzd
nMTNIVv2uaqdQFGhdUaTrwDXrYpl90sHO3zLCoeonRFpT7CMoODYou3syyq8VtIiYSvRhvGg9I8s
m+HLZrnH0oA4yVWDT2jDX4iA9rBizsLReRjCkekW4X+5HsBJgSE+hdaeHYP2ObBhhqGS+A9mWnq4
1IvmRzSKUAZxURuP0MLUrjPN5mpRRB+RICDGWMwV3Gep+IFARQ9SezFE5LVJTTlFzj34Pyhm9ax9
lg7MoJVRV+Jew6xChSZfaXDkNaVC3GWx13+J6657AgbFJjDX5uYD1WX02mhZ5gfKxgjgkEcKyaYE
A6a88pDrGWMQsRwPse1nlBzLwSFvZ4iwhhdHOEQXqjL/YJbf7f3l5DGWM2heTiMU8w/aHNnHrOnq
Y7OcV3WYk6hmE1fqjt4iAocGEK+QeIpmVS2HHfQLzj0+JcW/tpyGojXzu8lwQwSthcMPupyd7XKM
GsuBirM63o3kcD5XpRW/ZF2ysDLLmoZpGqF1FQ5knDUyBw5sVs4c3tiys4NcTnR1O9zV7aCfjD7c
xos7PY8mvQ2G5UrIZ9Mgo8gfh5/J7c5A41Gyr8zbeVenMeNjh4GzheriRGABBES0jitBdXiuOy09
idv1hOeTqwqoANeWvdxghFdymfkqsj4k+nnyuGrbIbiSe6+q9WI/1zMaln65F6HfEDdU2P4F9QmG
f65P+F19EHOhOo19z6C4/yyX+1Zfbt7hdgn3y31sLTczkjAu6XS5r/3l5tZul3h4u9BJSDJYEyzX
fLzc+P3t8u+nzHjrfJB+QVRKRSVUym/NpIsA4KDxjiar4RafuunaDm7u7S0zI0q08fxqnwj6Cf9W
iIS3ooR4C/Or2evk2Omx9aEcSfIA0hNKGbeZqWqi0vuWLpVOdit62LH4z0DcKIWmW1lk3UqkeqmW
vKVuAgPuf2kS60NbaiqH2cHZUM70w64bSq7WMKpyE3ph+QrOjaIsvxVo5VKrIUKhbJuWCo7A025d
3Mq6bqnwuNa7dd01F6NlvYEBn/e5WWrCaakOvaVOLJaKcV5qx9HCPGHFvtrMS2WZQW872jo4v/lW
eDZLDVrdylHEa26gLTUqqJqEFQN1K0w3SljtVs4idtXfxFLjzku1298KX/9WBCOWzQ/RRGWM7pgi
2V/q5eZWOodLFZ3dCmp5K67npc4ObyU3AMr6W38rxK2lJpe6T3luL5W6tdTs1a18b5dKflpq+jSb
CcOubqU+Tr1+qy31v7N0Ajh8hrfJKo2zeWsUulvTYNpTQ/IDPdZDzDyDYDImF2snHsJDLDTaDgKD
n6KsBSiY+QOSmiYJijyTa6d0j1Y9dfB/y/zix22+7qMkPKQZxyaMYAkxqHiOSlvt2mZAC044EuGF
DcqsFao/AFBdT72jj/P32ezHgnGnI9eVqYqNXsW9WOW6lz6gHMp7dWfl0im7wGqYdbzMGhOC/eRa
Zaa/elPGBo85gml03atSU5s+hCPyQbHsQI10CLfzshd1ily/4sqIWLz6bE2X/SnK86+2VZZXiT70
qow2xE6RgEsalt2reVvDlm45HONlN+vd1rTtsrH1khoLB/yNR5bRctsum10yLq17jAVtUC173/S2
AjaWbfBYTMm9WjbE8rYsNpe9ceqz/lNOxpTgtlZulw0z5AmWzcayd5bLBnoeO3G27ZK1dLNsqK1l
V50uW+votsCOl122OQPgB1Clil2nyeo0sUG996u6fpp5xg8RP/hnncj5MEyNTcAIm88xlPM3StyR
rY/U5n1kAOdMrUks+g61kV2oNllncx6pxJjvoCm6hziJq6AY0keZq2ZlS2E+hDjDrdVkZOF1oDyv
aLiwC1TwB0u6HN41VT1GZCLuls/zualGg3n3DNediJFdKhtCfLO+NzdCDPYFSGX8nQ4YCOSoIUtr
5FjzffRuOmJjmy7oVIadP/n+oaeT+9qEVfHYG3a/530ChI+Dlja2JiaeaTrxmiuQBoDyUyBQgYJC
eBlMRJmrNjX9wMNSDyso0fcpCTUPKitCXGX+eGi5GAEkiuG+9L1PHcLkp9GaolrZrS1fE+w933SC
Hw9tpdW70gStTLY6Rw2PX8wlTdqJHZi67m6TPs0eQ58ShBkjbNPOcHDDJN6DmMpi0zF5ZY7h5/gG
52Gw502DVKF6Kif/FaoKbMs+9uL6TrYSJLRe4mZhCjb4byj7Msgr5J0+Ok2btHu2HVJjUOpkdlCk
TDZPwukS7jHfKOk/pi5O6oCLn0++EvP01MhoveRoT3SqjrslwNQN4rJ0wiAlJRw7UZXeASVti73q
tPjVrk07eRcOr3iAWRRvWzPMTeSsMqbqs3M2DHL1uh2RP4mujjyyosmODJHR3b3TybxR9o4vGeHh
n2k/Ctpa5T6j+KyPUibP9JDTpjBlccBTyOJU0d+7Fd7dfH7jAPxpJfF72jlvrhrUh1m1VBBWgzq0
tdUbkSDpHlNX/ijBiw8W+Zj8csTKa+oMg1knf5qzTd/W1UyYV4NkBLlKVJLvm2rqLqY9YOJSymKM
Xzd+FD17tJB4FsV8iWfqHdxTg00W+X92jGWXdNM/dE+g4C00/v+6e3p5b2Nk7V31V7DKr1/2W/9E
N/SLb2DxXrAXpo2P+o8toyGsX9xbhPItD/n3BSMNly4sC5s16JSFPvBHD2XZv9iWbZiE/kF0sAgD
+3cWjH832cPm9gB4WjoiasAKf884IFhYKq1VzqXo82IOymRUbGrajm3VINtvf/pgHn+VM/2vUhWP
FePl9v/876Ud+y+Rk+XxzUgx5FZhmQlsw15EUH9ikUf2aIFJ6iwMMBMWZ6sSz9NiAPzVsedQcLxF
BPO9+z2u3/+Pb83ppbOYJafq72b7RMsMvPOGdbmxuUq/IXkUEB4CQFc56Hu9EZEOnlQsjW241Nz/
87f/K15g+cldAVlgQeCAdrlZQ/78kwsziUo/zc1LXoD6CDytxxKps8Orj+At+XZjgZTwf/6egmfk
bx8335RHxULnTHHw90QQ/FKhimpfXGxRiucSOe5BFM4MFg97yde6s72TlSzQKGUowJNxp7rvzsKN
yDWHz0E6YDlrN8Ih2WoLs3ieZ+sdKRFlPXZa3bjr6xDeRDLD0V212BAWaEppmv8ASvhrk//rZ+fg
wVkmDyj9bxvyPz013gD9lwWpoPLHbZ0xaj2MucJc7RFy/3zj0o3ZPwYPoP/7bx8eqZncITckkv83
OoOj6W462o1xSY3eeC7hku1Qicc/9XSUF9KGx6uN8+KecCtUSFOs/gnQ899fTNckjM1zkb/z3Pz9
Xel9fwniG40LkG9oEMsLMy3soaiX/4QdMv4fDwqEGN4sT+cbMkz563sZTm5XMqwzLtYCMtHquMy2
fWIgaL2BAUZWo++97ixv54JXYyvMy3Jz5aeYVv7h1/1/2TuzJbeNbdv+y32HA0j0N+K+sC+SxepL
Kr0gSioJfZdoMoGvPwOUHcfW3teO/b7tCIdsS0USBDJzrTXnmP/ug5N0x2q5gGv+5a4VjlGHrRmZ
D0Pf8pA4mIDrM2Moc2Solf8TjeffPSSLyYvnkr/9f0HKWE0GGtQexcMVf1AxqYO4EOv6NPhmfSol
iKIr+IVNn7s8LGbrUtLBiCkILbRXVjbXJ8Mb9WPcuriYc1ME5z4fw63Vo0ZMkhFwQDVlPGVuUGEk
CUmdLnZ//6QvutNfb1afrhp+MLYKlKm/YDkyeEJDMIXWQ4Rhqd3hppSH632DK6d5kxIQD4nULLkT
FxCjKeRNnLkpyMGwPTRTiZWBAgAswqxm3PJWBKs4kKZ+/Pv3+e/epu3gqDNRbSB4/eVtGloMoxc5
1gO0QS7I9TJbDaQVy4ys57aQ/3Rni19vJqS93NXsudjxcL39+oplj2fdzKfu4UrncHuwC+TQL/+w
caYPJrgGaXuQR0BhREgLRlooK4Uz6SkdFguIzVTgw65HfZ+ZrAC4emHxwog+OwsM6HqJiM6W5Jqm
hOHiB69pDNmgJowUqrjPB6L/8k8YFj7BL983m7XJ92xz5zLdxXH41wd2pppFqjfFDySPT/RBpllu
Mt/I7jARTf0BusGoYG6OWb/BPl94GCvKKEEBi0eF0pQwYYgNTbgWGYG6GHP93XhNVE+8jjN7ZVHq
w/Bwo3lj2vjN8bkq4wXOZEwWEFR+iWuB1ucaZRUYBchFPBlZR4I7W8AS5p4VcO7RgT4MS8x70JU0
nsqgvoxZ5GO2q6XJjBm28Wdr8vM7q56KbyY+xg0dO0YfYpphbk56TD4mlDXesZ+SapP27N9HutSl
vWpBdt3TwUGxoq9p9A44iY3rg+dejb5vNK/0/zKiMCPfp7XYJiaI1Dj3VlKMLVwBNybsnbPKBI+5
F8FXqDMyWFdl1+cHeIYk7rScr+WNaKfUuIkCyzmLGEw2oujoaHLGecKKbmHxZT4qH1ApWw4zXygf
eBtooMA9jZvm3qd4lWusHUm0CTKwKTGsj9cm5x7xp4FHzkM2tG3LhJYDR4Nw61s9pjOMX+57hzA0
XVcBqw1HQBbisWEX6OCUIn/yqbk3kY3zO+iiApOKlRX+OSCGYWBnthIkuJRNg+k3Rzs2s+kWZnV7
NjS5U7t4QkaQM+HXwY0Tp8llzMP+G4QQr8Z7AgCCFoLchHYZX6Rw5E4iUEAc0bwp05w/05BKj6ht
iY3nHPB1InwADxf0E4YE0U6Qb/AFI4f7GceQu2pByH9wo+jv8RBlUCqTuNqYA18PLei+2mPWcDel
5Y9rbqzSRNgVVVoHhCoYExPZ/sNpTQ88SRo3z4YbpPlpJDQid460bMLy2UfmYIbcAMVU+5vSX8i4
K5TLZL+iVEUeusjnLaEAca5zJ4XEiUrdAFxOL8gKm89GMiJsLcM8q8C8APAPdoa5HH5mVz/Wec6V
royxPqEf4zDECg6HKFC+vWWe3cCniaPiRRsd39iVflFOExDT0YcTT3uMtSKduCsRkRCoS0wJHYc1
AsTmLcRaCNjBWjLM0ozGomnKYKNCWKC4TkAY4vNhyU6d+GHwg7lfz5PnvEeuUqs4NTmv9gVAKoaN
7ruGO/SqGOx/dHPi3HiDx8JDK/DsO2W4LWXSgvvlCQ3WKAn48VPr8uaoOOoTxzqk+R5R3flU1qe8
IiKBsfPym+oiPPc9bjhcMX4U4RQLiZW0rAUwH8NVhXqzUJCEafIfZj8nDSYAIfMuBTs1XgOKXeTl
VnahT8sSg/0iOMctsNdwqY/B9LGppwYr6nWN5AwXnCOXTdSnp3IAtNN9tOFyKRfz33PXDfzy+m7L
YcB8Z7eOvq85dqKIc9Ppvr2eRfLCc+RdVebyEMcjpLsZHskIafw0CWU9jxasaSGy6XFIKTfsJamC
GRHbcw9TZTMtp0eU7u67VU58KB5JXilPgOWnNTdDtvxqlBN0kzjj9GnmAJiCgl00XLhJTcFu24Zx
+wZihNOvTrvp8XpQmHOINUedFd47zorgjC6br7blzWAEyz4cG6XUOvVt2MCtYV6wBRpr9NB4pyTM
6DO3Ed/dNVejqls2ng7s5YJXeTQzk0N4XROEdYWX0JNlNwcJBe0qIknv3evmhQ5bQyK4aTu5oIr4
M4DfazXpc2tIMCzXAw7hQSE5NhkQ4mvxYy9HnykLs3JTuCTgrh2D9IWVD1ABa6U7BeekdJ33xEcF
uWfb4Q02Alv1KjAqCAlNaUVfCyPhxavrI2RFbqZ3o5bLMYidp99I9RA4qvsoFrwlFUTA4Y5/DWOL
DbhyXNY2hmf2TZ4Ab7+yq1gG7BuPb/pSdbZ/w8epTza05cd0Qr2yYrrNu8WjAGNWseP2y+15BUOZ
McJ8koUh22+z0ddQz7NpuG1UbCSHMomoAS0P2wPiyjkgc5a/ziJyuYF/4tR6C6aJHlP/OcsDMuH6
1kz32KG5R4qkcN+ZkHNNdVPy+a+LQF7YgADTiqtSYNI8e1hnbgD08cB5y8uXCphUtjz1RW81b9mC
aLvCTDnutweA+3yrqejgXbORcx0UR1Bk8dGrQWDPvWa29n4Fk+XmwliC9QYCK3Z54qXseCfXO9HR
mdWdVMoS4KLsJYdHFiw+TkwS832oI6GABC1fUNbSg94JNAGHUuLiI6ZGhzSPZqPbzl7PoYiEAs5A
AkftE1Q8lxSIzHoWRkANEGaUIfDErGeFpQg1vWBchaqRMGiCb8LmDSwND3prKTjjC66VnYgzcuex
AoH1g8i/FLyzMiDsWTaPaEyJipEhN1eKkvYZyrP1DGyIr6VfTmlzoPierifG67Y5zSZ3VFMY9g1x
UHz22W3CcyUCElxgN23kMFDJLFdNNqMON5myinkjl7eTeHyKPIVr3wwMNuEhxahqcjj+5jyRueXb
s70bgIcg28Em+NGmOQ8X/FtWx6STro1gmUAVbnAIiEkaeTaDVr89TKkL5M4Nh8J91FIt6SW4p+e1
wezm3dHLysLvDl+rxVBcFINzk7e1UW/hO6jiWGJGKbfFkIj2yTKF4haJci40RijrkmbXtU+LzKBf
abHIcxSJl5LcIVqCQW1fn64X4OdatBTu44L4vC6sMvbZca73LmMZtjUNq/Og/XT6KtmGHq73pyOG
aJ/RCNiPVevkt/4QcIsE5iAPjpuPxySecFr+vCFKVQY/Gh/B2rqUo4TPVoVoHHFcxx69lOtd4emc
hyIXkXXxQJrvrZaxYeYu3QYwWmm99qrKosXpVqxEyDwBO7WCJoR0MwBucL2oqlTJ3ZdKGC7SUfy/
iYMQiQ8oRS4WvMkDt5z1DA+Y0HOrIFVljQKVHQa1v72rG26aATn6q41B5I6c5pkxz8IYNA0LPXGv
WLSvK6CT96jSauZYJQnhxNWuQrzPACZ8xWOzbECM6WKbWK9mBIO2qmPJXJbICeI1qmF5t9nQ85jZ
UIdsaDmTfiSbVEKgolR7DfXEwc+N+dyEl5FpDvK6NzaZI/Uivjaa+Wm0glQf+mGskjtinLG2Vyyj
F2lCaKJopCPOzl9zt5twdORz7w4cQmIjD1+ZOQLPYQLM5/VDde8Mwn+C717eYS/+lhiRQWJ31h3c
ogXBwXDjBFIx+xHbECl8Ad7C9iipAeWhJ7c12yPmYHakieCqdU/LM+SEMnmvDPu5zmnDF1q7atZ7
Y8iIkqqI2MU9XTNAYAJ2g684u7UdZp4IvF364rbQh8oCKLEumqa6jWoIPKEuOC94AvIP4GjuMNmJ
PtgC3+3NY7ss/kf01DQiQxBCl5LcOSoYaFw3Vy5hRZdtWLdFpIynOBN8PZJUOTpVocVFurIyr0TS
wFYsOHJZ/NuRM065HOmuEMmc7If9lSM2tIpnZimU84JVVtkhj2qYtMTfmZK3FzFTec1FvQAJI8U7
1dfNJMIJ/ja7aZ0DwgtZkvKwwY607OEWtvNXhr3cQdfCMDbjqjkCw0QRKnvWtNpDzHGin4YuManD
cxpCVlJNaF1i7YavFiz3D+YcAWz33FnGrXyvy9hO72CBcbeWMavV7JEiMPLK6+u6GWb5kjfAhrmd
FhioKJbz5hV3iK45LTdYL1ijmRK/XQNVaoSL77LlEeoLbp40MvKjUbs78op43/PMpAItbJIchJuk
353RM7uT2ww8cf2C3XDzNjwTq7ecMABKDkvkQZlXgXPj+8Qd3FCwaQBk1DcrwAxyX/fdsIMGL6C1
db37buaz9QxovD7xiVmV6PNwSXwwivSaIkElUXpsLN44eaSKmd5mbn0CqgDyX+QcL8vB9cjsmuUP
Dz3zii5Zae5IdvODrTf1YscrJ8+JHPSLxn1xToCAvTRDnG86nhBWZ6qdeceGSO6775WICCanMe4X
dLFec5yugq0tbX1A2Gh8Gxrb/cjCYf6Okm/8URe647itinjFuUqcrIYEO4tD2b6guQI12vTkZgAO
ieC9rbJ2S+BZe3RtnV5Svwk2cealn3CUxU+kEYzQEkvAG3nnmnusL9MltJvoJTH8/BtpYvwkF9p/
x0mZRMB7gkuoWAviaKy138NHXYR93tu1O/Nffdw/TXgcNEF/amRt3vv3333jl/fy+//7Py/9e/Jn
bRw4iuUP/DHbMZnV0FxCLO5ZcDwX6/YfTnILJzk6uJC+tRP+tIn9MeARv5kWffmrcO4PShQgff6C
U0rnE7uZcP+Tyc61CfS/0xbeESuovfTL4Wcwq/wVl0/VztB7CqbbsJoNAG00AKdpdwW4lqXDAVsv
LGWOEc2pc53uw5omjmVYjhBjsJJwYq9PoqkpNoeBcjK1OO0QI3aPKqxDA8bjkEYBDnVlYlE9lKXH
Ovlo+ORVQFcMR6QrL0mkw7Jh5cIiDqJzZApqFpFxF5bOWB5rmcmOJhQqmeAH0+8pHQ7KQ8kH0NQf
LOQYAPiM7EjDsx2fWMdM58mooNZsGycRzjbOcJ6duJaOfYeaWK9NXhaERmN6QBdEjG/CmSeEKqVD
taOKlCCrMqGNT6MCQZYXPVelSJ7nHuYiH6pGXDUYXxV1x3PABt2umzLJHjQWkZ765YZVP94ldTS8
07BP2blw/tI2RVLiAZFah8SdFv46hHEqqmPGFJ9wrNWcKzLpFHVCexL+TGoaVqZAX5I4H40bjceb
NSA34unJmKxhNjdmnGfxLnIaV/h7kWIQ2I+RiVr+YJkxAn+oFvnIYIBJMxq42waZNywtelpClON/
FbM/eRD/tCIAvuYp/v/PfF8RUqdV+v6XVeHnH/p9VfDd3whW4j8Jl/4zmDhmnb+vCoH9GwZRB+QL
My0mgzbd3d9XBTv8Daw6OwWrgMc41mQq9cfi4P3GT7MDtLN+IGA/eP/J4uBb/4KQ4+VtwjqukzXG
or+0kIPRq2vIpNYhgJJcLFmIwVrSXqVzOLXnVNlbkCpfpipwF6hLnLyYOMTWjgnkOiU64mLXJCOH
crR36NOtaItNLrhHatSgsqoW6ePESYrBy00b9c8RsPiFnNK+A1TgidkgpIpfkIBVr2IZkzTlUt2N
tC8+3KgC57qUZA7RVO8IQShw9NKcsRuP3yQ8J3ztvdr4nmtfv+R2XervoQ96LzumKFQvIBm3EiFT
QD7WySS6J9h7Y1RRpzoxkaZkLjqXoWfR2YikNp4NxwUQBvJm3DYkRK38VuLTK9PW2VBI6IsldbGR
KFW/FEhsBYTvMeCy1EIcLJyK56yhEYymd1nahF2j9kMTs0PMgke2y7865VydYsXJxQ1mZ+OSmvdZ
Zh24MytyNoaP2xb3j3q9dqdo/YKqcjqGiXVTNmhwOFPtybui50QK/VvfFSnoGk34qQnhF9Ud3d92
Hlv/lbEtSV2+p+lpELlLqQqRmVFQdMXm+9SJ4q4lnKzdGS41msSb8j6wjM4rj3bmmxMz07hmDkLa
WK5ybnEtOKRaz2HucvC79tHitKc3UjRLn7C3C6puWVOddrbNsRwKLtWRDQ0AEJw70qALEk5nlL8t
J9JrSMDPTsT1l5Bw+V6jxqNQaslGoghMSv6Ma0+5f24qArQEattyzcwmes2Iq0vX7tLg7El/XNov
MYj767E5qHNahFVPZc2AGHyHDMYadtvSPkTlzscoFzSE8uthRkAW0jBIOImSdcVp0+kDKEoANGb6
LEtTcSo5mxKBws6YOTMfyA8pMkUrHbRF+Ux9YgRLJa/gScVbhuO0Bsoxat6wSFMkxNFIMeniSsw2
gfYLZxP4tScuESLxaNf1kRnf9M24lHQ1PbdrKyjNweTiFrs2COqWvlqRZfROami63bhiEs3rEQ+w
1CDe8uHpClOKwWjnCkql+S/XU/I1m1FjhqYZ0vVLB2YwaN81fIhoEOZ9kI7e+fqKnr+Mz695ZaoA
J0iVJLi+maIprGROJU0gBoJfR4lx3ktpOe/mNNHU+tl/MWXzRgVB55uRJx3XNHOdB0TaNBLtNqlv
UjuV3TbyBsoV4nL5+bGNzXlPi532Ia7yT06fTcbr9V0GbLrxAYosKXgIJ3izbuNxlxnCJu1PFhgx
i7yjBu88xfecl2M7P/VqaTvXxfKV/mxE09gzu0sPhfsUeozmJlnz7+GU0snFaU7dbyxNeZS83BDX
xARfFaxQ166zgyFg2qVtU/yYZ5c7MvOM5Z6yBIMsKoGgREKLQfrkk9kOUaTJ9Vr7ea82fShA4s6e
ejSvOREZY3qbO82GOzPQQCoQCVsr0jSacx8M67pxsbq5wmgRk4olI6WsYoYLsvMv3lIJZWgEXyl5
vGRjM/2j9Tzhnb3GjfTO0EVAYoR+GrmL95kKyh1qcCA1Y+w+DGnffcuQd8NcY9N5LcJCPwWegSxN
SG5sIZXkw3ABzp7pGHw6Qt3s1Vy7Vbd0Qwobs1NF9ccl4zinQ9c/KLQ8ZB9T3W6tqqbE5IRHTS0Y
wtzEOI1ukJ5zfSedREC8SY32BuhpvGCp7pTlOlvmYyLGPG0TUtlCCoPI5TQEJ6f2vi6CJFnDGokf
libBI1QCkpzHfIkc8/NEIA+f/Z2h5PTd8Uv7GMmeNOMxsD4K159fgxhNyI5Es+zcotj/bqNbfx5c
d7ppSkSKRE0QQJEaLzQB5CuHxW5TtXlPynoYpDSSQGkKbRRnS1eK/6arnRmU07aKzfk7c9WcJ0AV
3SkgUiGD8g/5f1XOkf2G8aE79Yox5pqgJutmmGV+y9nL3TCgISo7QvPKtJXmwdmN24v08HYh6U6c
7RxI+G2aQdOx6nVwAV5Izqkh9JZywIYyHIydRRuS1fxhduzkZjTDPSJjvZtHe9x0bd7cqqECEW8M
0X01SlaTCSgyCJfh0apQ/FIcxus+7GZAMgRZnJu8MsVLBAj9VSWFfILleJ+4Y/uIGDJeKbg2jxEl
ylPlY9EuBt0Hdy0KkUOKE3Frxon5ORZKn5woeJ5j4X3CqiL2tXZrGIEKOz7PB56Pwyj18uCrAwNl
jtmNuCczol55ZZO4pDQkJibruYAm0fbmA9kZxJUL39ySEUKAcGZLTfuoB+NZKLMyN0mUqC9Ro8ti
DTbczcgDHQb4mi0N07VhYaYeSbJYB9rsnzFpB28pjlFQ/qlt3g2ZM4AGMpobJnvc1crOvmi295Mq
huECkuiLkkF723QUBSs6wY2HCTvqz503A8FyQvE0hQYQABroD7nl9T9GR8svE+3r9h0QYDE+pJB0
YjSmM7Y7OsbrppWfGVdHD3SrIux6eUSL1NLnsScPA+Mr02hPHofONu6k7L0tMY8kFEx++b3oFXOY
OcXG6E7iIUv78Q2yKpnQjNDv6Sm5d3ogBGKVVwmec2QOzQX6ZX5L2ISoNslgGg8OZL6N7wxqy+WC
DOp4+th0ZfUlHXoHnHbzgqvfJMtBvhIDOW4xGRLUmJlvlohvMpV1Z2Nync9KxTaG0pxpuBV1FhTh
JDl1sRPf2Ri4bwdfHoKBtM/cJw4hMa2BVbNutHNWCciPkUJ2LRJmWZu4EUPP5mfQ8uVWMdPkjJup
XnpSn6LM8Vdx4ZXM4GuHzji5kp4uio1FXcdaCNI20ZABYjtEdRA7rUeKM1v4jjw6U6+EaOyHgBjN
e9qu/VONV4aNvhprPk9CUsIMrsDvR1C/BE/S73nxzNY6VdIgWMLWpDcS+wvirCyfaCAhrc04fuwE
rPiNZr7WbRtTG6uh9yA3Tl2S3JcL5JVEkenZlHI8TZ1tfjIkf3D0YsCyrj8i9EbDvOnL8MHuzXHf
VANaiF44zQmEW/uYuMBwydXoFJEaS6ZnomrrOOCPf0hTz9zIyLvBbRac6zyeXsyO+MuVW2KvH5LP
GRk5a9e1Ag4UeoxfxiZsV36ne3bczj560BkO2owFgahJAMXX43voZaaAleI5Ix8JTaPcTXni8iSU
fb6GrgHCJB3YHaHkx0yFy2LfKCd4bUI++Nho+RRltb8jNDfKtmyH6hBkXbppF+xTwBTY1NJ6TCKv
YribJc5mnuLuhIPIsRGHTMNJS6feMYvW9o4/o2/9Uic05FlvPrDoeT9gvqhtmnvufEjCvviGsrw9
hDIER7McrZqyk6tixDMzO1YJdqLMPOhUbbPNYJSS9BAMt6qx8P5PRb+eUHFsCNMVJ1Br44UpaWO/
sL/lt31VgKxclyHuhqxP6d/neP+GUsfeYxEaNiBLAx/52GccCxjPfM0tYca7kGkED5DJWRDYY35H
a/EpHgt9Jq212yLWAJiRdUH00HEMuBX0s1l5Jzv+7JcY8jaznXHGcsK3eLDqxzlSGQErcbJr82E6
o753L22VtHIV4mzdDLU7HO266E/aaqd9gOT23nL77jlR5bFV7akJZr1pQwGEq6u7bwRy49jpW3m0
RjdCNRG8clAjHLqTOLKk85DRdyhW7si8dZfpMi6OgNGUtUvDeZ6YpskmW9ew/rNVSdjp42CbzVed
l7QxWfIKpoZVSfsfaDBYZPDB+SCN8tu0UIWNEL6wkZC1vo0b8hK+Bn3z3AxTBYdY/qQS44ezkcho
wlkS23+swRfjbgZkTEgBUGO7Mt97FTa3GvAXoDLuhZtcpRHfczbl2yDPEv8R24hrfkpLfiXVSuZV
dE+KSUuMLERNo1i7jfqEwKFeO7YMYv8+Fk17z+5305fsoOrwp0r+/l9Fykvh+6e2GZJrf5Fc089z
Uan91F79SW6ac1iKvM6sD+60JI65acYxcbBovv7srnzT//ffx1n+VcTl/nyh0CMBkDLYFt7y///0
QrhhHKNl9nC4zpKpUxnp9lXLWY2vwXnvSBZegpw159GZBfdnt/c/ePVF7Ak7BTVeCGBq0er96dUb
2k2+iR/xILNGPHtKkRuPpIyjBPkqtTZ4Va/3OQ/+HMP9/TW2/qo4XT473VCBHFqgS4b8+stnJ33W
iGrCnw/dNdJqVBB8bv28RaacdVRQcLf48FcFB5BBjiumJEGXnKTYLw6ERVnPf/+G/qpMXN4POn8b
ib6FMd1xfn0/caiGScTLYEZKZjI27Qc3TcTzjNjqI4QKsv/713P/KkxcXtBB3usKwgVMh/PhL1J4
CFgTnc6uPlRgyM99Qr3WsRu/50aPjFrUw7ekMB3nEo/BYN9I6dlEsXTwAspb3LYF2x2r+daD1yXv
GMIyKzM8xORSMMgfEzK5MC1yJzlgNzirl173YcamHdLFcfr5SZDsIreAj+UhHYbmrW+Y7tfuqPon
aIdut0M/Y4Gnqjx6y19mish8HQWaKj2OUDSk4MEY7rJNPENWQBsGEuaDdaL6EQD/e7LDmDKubzt+
/1XUb5aO1mcIEFAm2TBNqmqgLg8IDYZuFzLb6vYkHMnDxG+Ud07dWN4eCREpX50V1G/XBsh1LnT9
Ev478PiH9iZbmvm37c3995r+5l+6m7//md+7m4H5G8sGARS+KVi8iAT+3+6m+xuK9cXjj83CY8DB
//qju8lD8Ec3kxgNlLkI7Akahrj4H0HyoPL8umZD7uNvmHw8vEjIlqftT4tZKOiBIx0rDnYQvynQ
1au+I7Lc883PleE9wQE6VObQfg5KC64We+PgQ0nTI9JSBoezAa/KVuV00+HjW1WWcmHY5MUel3Gz
8Y22WvdjKH9M0egBDfEDTNCM/jByNl8ACJqPhuC4Oxv9sLELRudNkKa7yKj0doj9x2xMg3s1p5s8
6MtTpVLFT8NDa6u23XaGEJuJPfpo9sBPx/Ju6gCENr3Tr3jKb2gMzA8umq9N7St/TaDE8Ez2Tc6M
VuNxxZy/guL2oGAm7cke/OQ5JeZ4pYo9J7zktjdT65QRQ4DKsErvLa+TW9fw2ntwClsnLV4HDWAU
tBHaQM89lP74TtuCitce1YZSXX9NGT+eciLVVnY41yiMWm/vdsrcSkf6e0Uu5lo5BXF8tv3RZ5z+
0CBEGw56tD/94V3gsVkb/QiGNidQLUXFkM3IQWbkBVu6tiuV+NVj2Xa7HhPnXBt3EaX7djBafWjs
UK20X1uPQFiKz2Cimk/umO1g4WP268vHHCfDOS0CCWUq8ElqQAZ3K2EXqq0ISA9pKfk/D3OdPuQ2
LVS7A7lm24jw4cGN8qm1jehJOJZ7cnJMmiujdGlm9V5LQHmTXiT5Ap+jEHUlm2f4SuplXqGfG9TG
q2l1JCPj5E7RCWmHInjwlYIEXNhsVYUY3UNvB82bT6qGt+iwi9cqr9wT8oZwb1IOXZyKzi60qEUN
EZuNPKN+CTZNalNGpqEYrFUytBjIRVMdgZgyaJprszpidx3aVQsEp12lRY7R1KrL9GKiwz1NgW3t
BP2KLz7Wbm+jo5gus0A8ltHGeiJfrqROTOsni53hYnuoQZwlLD7WOvvSNPCIVwhUGXHRjySdDpLi
T+XV5I4YgPsceBV8AJbkFJHsrEoUFjRCOHim47S59pNb0y5eJzh2XyUSlRvDtgfAWl3PVcW5SO4S
ok8uoLEe9UTHMzTZP0b6T0fd8yORdkwEF1bxdC/Arb+6QzTlB5ecWUhKUzw9QlblPZY1OrKc5JJT
V7skd9oT30MTFPxAq9dJSz2RVttpLKeNXswPCc/fPoXl6a+0JqIxQp4JbCkBqtdYMOmmltEnBmPY
kIPdfKehifZjqJu76zvLoqwJdiPDSLpwQvgPMTGi5CZKGJF2lAQPiJ0wA7Bp/yjAsx0rtxqeO7Lg
1kgEPDpBywfv7XJ6nAa3f/F1yW8sokzcuAxcug2pVNPWDDvoHsrJvlzvNJTkvBrZDeOwsibhnlKN
1JRpb32nGnQxK9Spw9qd2+LVCZX4BAM4rbd96fgPOEydm3rRpTGbqMkz7AWMpsF3DuC8WfUGpzoa
NLLo4UWq2dGz7j96P4HMZ9beHdDo6USbTjxG5C48qtYotwl3JFGAoRt9CYVsVzhLgTtVkeYHQbN+
kD7VwK6IE+MJKyGAIy+rn9q4DWnwcQq5flvoxcj1IC89oByLcMJbzFCIh+XK4YN3zxZ4wWjlXbGg
XsyPH9QCZCg0d/3MP9IgeAukM60FI+11l80XSBiXsZ3usS4+jy3dptGtv1QpYQ4wU9ZhcCv64c5U
8X2ycKOLHrVnJn+4KjyFVF6r3qB5JfxH3dk7e0z2vTe/xrIjTtTUNDEp8VdN5G4Rqq1EM9FtElX9
2LOPgdKwa3IeUst7dJrsBXTBIlZhDc+tgOQjv7HXll8567ScLimyQ6WzTRcRTVn50T0SGn1nIeLb
BXU8kcETeMneq/OlQz0626mB8+zTUjqMY9Gse2KUko0hrQ8gjuuxFd9b+h2nFlP0KZsHIgdFCQNQ
uN+kheUjcB+Y+BXrfBzsO9HG0ZsRi8+dEXzDgFLCT+nKHXivHoYboy6jtKdN1s1FTmNYjOvG8+on
aLDOeiTN4KMc3bVgJrZyZ5Iumx4MYTY0DOLzvZ2RUuK6M19w6lk73dIOytSUnymcXzywHExMSCjR
U3ljIpw/KBbhjRkMDfNE2mNmOByhcTY7o67fWk6jK0245nnKTf8oufH3CM6wcozRm2mVFB/0vgZr
+mFPzWOTBv73VPjpwVGt+cX3DLCmef7cI5p7nybDpsEFYiy12wAlAI2KqAv7oxNGDq4QSuGNtkeK
h4yeOcM401nP9UaE0VNbdh+02aPtomi76ARMwxZgfNozVBIm5vyZ/ByCfAgttbxLwZr/wG2FWciL
rHt7Jv9OCRqz63LA1o2SHi40uR/AP0TzvXNFvoVkcIPKHqlE07wPRS02bdAhSbXGz2Y0j4wK2O2p
99294Q3f8E69UUvvzamNXpSF1cC2c+KQbZWva8c1bqXjvkRTZSKhjDQE9Sr+zPSDw3pnb3qshGdw
ZvGWQ0Lw4fju+Ai/1HrJEf9zhiCHa9053nRUfaRcJq6c6skPzF4yRkIrp3PK713kZ997KYtjKAma
xJMQbYiuGXfs6WqXd/zZuERtNvfmxadp9GA7NqzhpOVktdg+VCODSzM26ktlTsUXJSwbnh7Vu8sJ
a0WvfoZ3Z9es5H06LAZ+wCYoXQOCgHQWn0fd59axQzhKY5jJykWEMB8CHAQmj0TM6Fcbd56FXydH
YNjyJQIgimRsUPFkw9lnwsodUxEHQLxus1RAim1QkytbB6BRHLeMtlHrltuoa2Ebtmn/qBjAZdsZ
6CqC1LAyCDsI3BtOCjmhkHW7TTXDBDJ8anqUUv9ANCLuLLxQL0qmChKe337y2mW2wFq4iecQKo6v
uo0BmWVt+vNNjnbmVI6jcTRrFjDaWO2hjtwF4tZn64wAUEK0iV+MWoId0dx/xeATABuJ1F3O9O9W
RpXc4auQ+1bQ3BpUDuG5kbe6znaOYeyZsXj4++a3TMq62dAxg52vWolCMLdAR3bFrnTMfk1z1Nnj
+L7VaTLt5eLaRfXLAL/oxvs554yXk37KzjUGd5Nqi6c26+gD2rnxZvfhBbRl9504Rw4gSO12YeNB
jywAyxp2SzNWpsymJVBfk3HwCqnrIztoTTQaUukmHCbc1cp9tRu910rHGyCYTxPihItOBelDQQAq
sbL2nkL0VljkSI11/L3V096G3LMa25rOPzJoCO1aH9PR6takzkQ3qo3Oadw+/g9757XkNpJt0S/C
BLx5JQnaYnkj6QWhkoG3mQAS+Pq7UN0zIVGaUvQ83wcpoqMpJuESmefsvbYdOdTCIz87TLOrTlFG
81nC5U9yg/zv+T7ImV2Nk9drbjqEWZMUxObBQcriOwuI2IZHGPLG4mKjZ0UgAbD+5zhuia4jFTkG
dkW7cFIHmsaoCh2WKjnQiTJ3QpAtIH39BoWTQ1c1wyMKy7XelG4K2UXEQzJ9SXJ/HOwVe/ja3PM2
fFGlfacB6NuWYMjWMSX8BxBMc2hMs7iOM4eotcGxz9KZP7SzlYZz496nQa2ts1nKe9rq5qYgUOim
9RrnlUToaZ2Z1fxqCEOex9LTtqkxfOviCeWRYw5nH07JxvM9+2grdj8reLa3wViYV6PntvcxS5XQ
jHprM2neJzpAEQ6YPvtMyuqE/rCjxFtFIEQ1ENZxpuvkEgtytYcUxWTjo0SPmoLGuo090g8eA00q
ZKL2abZYaKN+/eqZI/TvtiToiTSvorYpbZhiE8k0OE4xnGRo/suiH4W5fNXtUX71SGG4GsdKsI4X
9h6VsnPoQJzrQx9g5WMto23yQeYHWENkv2FLn3Cyd/BZYRi8FJ1enEVSfmEDGpdhbbZ9sxrl7JyQ
pNSbtEq+tIsODN5M+dUb3GXOiqTc9gQqbzvYsh9Zvrj4hfByoCpAXm8Z9xZNbgBpcyzwlBXWEb1f
uyE6lSetr8ZnF8zHqW2s6mom5KNZt5MsbvKq9dDT+FbyWrUCfGqUpWpbGgmvAj2A8o2TCnzlaqQp
+dWPocWhxnOM+7SP/RfZeQiNrbJ6nZMaUtgQWTbuIJIGq3WvjxWpJLTSHGP2T+CjarqBlEt8Yz6k
UwTycWSTVadzfg0NdPyIsZBU6RYq18qpknQN8XasaVXV3EIxi5Ks9lGCVGA0HyH6LV5/yPEAzWtC
r1I5T3iaiLIjtUnIHraNGL4noiz3nkVPFp1gs1dahR4H9gg4OwrplrjKOyilTdz5wIv04TamwnVv
ZcG8yceW1W0GgMyJa9ImIivdZIEfHflhT2z8MGAESb3ViPw9FK4Wd3+hGP6/6vOHqg9tZsom/13T
tv5cpN/r7kLV9te/+rfUFT0r7mWq8a5pvmnX/lP2WTAmgBh1nQQDH6HQwkz5u+xjL1JXXJcsqYyA
gu9SEfp3GchE1MYX4lj3KTmQffFPRG2XVWUdWoNhGi6Ej0X3Stfg5zIQ5GiSVjD+XFfI+cNhZB+/
qq3My9e5Nw6QFJzpmKmhykNdz+VHWdvDU27T81qJoGpffjh7v+kjGD9zK5zl11BaNz16CDqJre5S
A/+hKGVXLOiDpB+uieZB4p9Til31qIEIyxxkDcl7tGEBDQ2b2q70F7NU1lE+iGaIvgvlqfoaSKnf
8B1JjwmiMJ5mpCjGjsJx9A3EObnt7/9i86L18faLoaNQlUfdwer8wp9vpziocUXLa0s5MdsZNRdP
9MV9ayu9idyJgbSJbJPymqUj4RKTxrLd2pVDBwWkG3DsJkpAuUOSQJ9ZpqiwKGYjR/I6Jyfsoc6S
27wPjqUAuLbxoMQ8k0XwFo+owlRo7hny7VD+odT+62XwaBFjQPYQVLrW20H/cBmItohxmRFH8CYR
q2Okmis7N7k1aNmq21F1wUMTGcWH90/mRYFf9wzCg/2lucG9yF/Lz/phWHaSsd2IuLp+M3GDju5x
L4L49aPk+f2ReHx+bFi9jRRgsqdVRSYw7fafR2rAD89tl9TXfqPjUR5rpFaR9OGh5U0S6pSn5jWd
bL9eZ7Cjyj/dNBcBJQzPjUIDw0YW7zI7XAyPxBQ9KJTAa6/Nnc9l1tPEgHBf7Jy5FKEL6n41EcKV
7MaiJZ24zWvvm8T8eRiDyb5SrtXpiG2ymgWVV5VPVoejZ5P40/St0YZmo2tz6a2doLa7PQLZuf/r
dfBf+2DGrxfK95Zpg3hmWAqocn8+fbrbk/hB3hPgxqj8nHZSkACm5ZL0R2uaqvg4Jmn+GvtIuNTc
Jlu3thV2QGPwvkvWbDXCxdhb23U2fEs7y/tKmTLxju9fYtv55SKzi+Imgi3A3MrTuch5f7idXLw8
epdI65zZ7eLuQXmWLHJGZQVbysn9ulOtfkfVixpFkiTeujOqnTC7ZlfYjbkms6K8bwqnVHDGx/hl
zMr6MAlJzpvTNk8YUqiM4X1a93WWQRsja3ZkuSKq67HRxA11RyxnsQHnVJsj2jrkU5XEPcni3szi
23iq4N0Xvddey6h9lGapWRvKIpzIdDKZG+x+nlco5LKrInH8jxH7/mMCmIqEUjUE6xEYZ0mPekoP
mt+RjjFO/ryhDK9tSJX/Qi9YPiB4IWqdgpW3ZefWH4jExbKeGGMOYpeANCS8efQKCKRbODGt9qkv
PTIYGmEe8rpqDkYbFF9TMAo891aZP6RBpFiptHYMBrbr1xPnYQduI7hpx1KF9ti1W8NQxhCi9kBY
RYvSb9eDmURhKSyMPk1wg4M41rHG13LPq8Yc15WeuStfesUHoiuTk9kFzYNjSfjwAfTerXDL+bPv
1gTh6nimCWvxyQ5RSv9simL8LqBGsF40JXgMAiiHeKsk0VbWOI7hFA+9v+3qCAQs9cR9xUdBWNhd
zYkuB4+dS5ZhooxGjE2Y1hGUSnatFimm5a5z85BNxqTDESQuKBWskMkJsFu5pYYbiJ2yPHXl5vNc
RHf92KKTwcRbTFX3FT2Wac4fxagpryQeu2Mqr7+YU5lJq0MxQ/dQv5a5LHN1DCij7oagl9GhZDdI
jNpSeNY9PLrZRDF43XMNIloNOhEnc4IalMy5iPehpJTdhi7sTX3d4YyObmAMEi20zydvXCJdikBe
uUJa3FFjVBsCKiLvwq2rJVl0M/DouPG69RufGw6ebrmtirQLVkXLyysKMXC7ay0KaGzi0tapztUC
I8gaZiqa3LHwECyLiFUB0T+L9dCfHWbMysQ3DsljMTcPArXLrUg1OvR1nPrftZ5ARrwatSl3qY06
5Zp+dswS1vKkR4BfpUQ7T3uhM7slBFQn3lJvGFBfB52o0u2EEGra60KUzdoxJ2QGnnImGk604LX1
ohl40ZqSNbtluXTD+aNrN0WmE/jUy6p6ycoyKA9Wh5ImzMkSuJ8XJ/M2W1ySp4RUEPYWELMSuYu6
oakeeBlbWFKQDG/7hl8Q1rKIZ7YLagYoiWh1PJf+xK2t8ah0BGwY/bGDY4emK7LifuMtQcGr1BOs
T6o5s3DE5Vbgbnx+ADHXU5m0BzwxNlpgLyc9Kc9ba0PMD2jrPkKRhYyzCW4zhDH22kpbmsclblLt
pIMv2RpNFDv83MBr2AAnc01fy4CJkkNOoVXD51YGDGa2PS18eCobqTavpEq1T1011ZMGxTL3zWuD
vhIbEH8g5+dxInOiv3abYKo3FbGBZ6cnB2YXC2Ru2oIE5mxFKcF3uM+LKjmC/6CnLqBZkgclY/lo
o5X77CiEWJD/uXnZHSpksEgFqc2X9MjgI1htjs1gjMKUNBUE4DiTV1mcDQ/CccfXpkus/eChqUbm
skjoaVHyPU5RY+islpb9rBrLvsMWaTxSGuYTI+hJfy2h4qhwMMuMzZUy8etXXizMm1TDkfqXH4Ic
JMTrXiHYyKsJEftab7H2ojGr+GE1Qk3jxBsM87MPKSAsmSW7DRxAVR+kgIxym3V9nt+bPvESB2Vn
Y38Gr7MsPhfHvJODHAvrsWToup7ReSuzlPNuIW9z8MtPH5mf+F2LT9l2Ko6ip6QWrRJk2bho84FH
pykAa95Vnccjjxsfczj/jznVlPicW8Mmq4OCaILdORk71Z9LLUE1AIqzJa5R93RKjBS9l0mDh2nN
ETGBKMIsWSfLqnyOTCs4+kNK0d9PsKWu3+gIY7WYilWHl9mSCu9qzDI3OxGEk2cPPm+Lnah04/qN
1mHrJtE6iZ2k5rH246A/RUkdD5up89qRBe5k7RqT00oNr52+5EXu3Kp+EQaR8jnkL6NbxmJfRlr5
fZqDZQ5JgRRv2AcglIY8vRTO3TJ40fSIzufYYEfzKFyHUzcm9ynG2FNQ5hnCYQrwMdMe0MjVkJjB
M5LlIQ4Ls1pE/lpkBQe7qo32G3ZRaCIUMRey+zJjg+nVOKNqmIeQlwzSMaPrkR9HQSHJbEsAXbP0
brNPmEWDR21imX6cA0lHQQoat6sS9e9wSEeTr1KUJQCfjTH52Q2Xha5tHrh0ZIdBntXkFQ/U1lsS
MMXeLhUNznl0uTi5bizgcWgl9bly0YSSH2rXITbqcjjF09gka98RZfLISgQJCiwLKhleiq0hTwSY
7mAc/Ja3wNQ+FHFrpB+MerZ8DAyswKanRlrYWcDYIFZJPC2Pj1rUjK9JrJOrXXjkSB/SQDfulNAi
fAp9K9IwnXtuUlKwMutW4ZAg38lt0MdRNdKJjCIHWq0nVjcihLjDVRsR4FG9nD0a574QRWgoS6Gs
K0yfmCmfxuAqtxVmiCmadEHFS7jtCyAU4zFLOu413nRAnQrQybdVUBlMsGYT0OFBxkv3uv8IMmH0
jRWsYO8JDiMN8NGJpX22o8If7lt6FB0vd+7okO4vV5ONA4SW1JIAYLyuSaxbU+mFi8SuDjgupbT4
nHcatvRSRMwZrMZ6eaanyO/vgjzeisTPExpPuk5ul81zTx8SYr5NbOf5bVX6/5WUP1RSDHIr2AX9
91LK+XNaffvRG/j3v/i7jOK6/wqWkGc2o8CPyJhmH/63N9Az/oUyjk2I8x9z8L+rKARVopUxfY+9
HnJBnR3A31UU21ryqj3SyZHkIKsjI/IfZFFf7Idsf2kC6XwP+3rqKYsR8sedxhSwnJITXG2Cd+CT
OdMZkvkPZ+M3pZFfh6CVTP2IchA/2TEuhojGnuRW7F17ippEAvmkRlQr3+WU/uec/w+jLL/ihy1T
B+hPwcaZ9171SWifavVNOv+IVYmzk932jweyyAp/GMJLa6bmgSH6+c7T7yYE0/Pr+0exfMWPclTM
o2+K1ABGJTtt72IINPJmNbAr2qPWpo+pBfE6beq7smx3DrumPxRLfrkyb6Ohg6SI57jIYC8OSDlK
OjWK/6lmTaYL/kKXi7wnborN+wf2u6EMtrQBKkg8r+ay4/3h3OnCbZSpDA4s8eNHxW6E7sJgnHVJ
UOL7Q12UgBYDbgAsefHmQ99FK/bzUAbLr6mwGKpCRXqVF2D+XJYI60jNatXGCnvXQK/j/UF/d3ws
SoylvukA1L0YlBhWw9RIutzD7HNWps1f7OKRRWn89f5Ql/K35fhwBPPkUmp0f1Gv5hYYmabRuj35
bBbENig25B/SC8tNvBNEjLa3zUQ/lddhcu4Lpf4w/nJXXN6jQHWYtlzKuOYiLvzxUk5UuhI9ZzXk
l6iGXHAgK7cdn94/yIsKyNtFpAQCChe3MupC8+dBFLtsErrMbi9la+zYF47w6Dwrui5Mfd7PEzQQ
2kOsW7uy274/9O/uH8t0HVMHkUj95aIuGjgIjmPT6vYZ6PWwsRxcpplGmoan6UsYaJyws0xQELw/
LHDj5Sb5+cwaBuVxz1zKewZF9p8PeslVgCSAJMTRqu5LDSwYF4U+mqE3Mus4UV7ckwwAlLLoo6Ml
dNIRhMUlyBR1YjWMu7TpumczQfNABJ/INp307ginHJwNaqzxKqAfv0WIrW9YLhPeThblQ6qbfbLy
aAE+TrlPwSjzspNwB4+gx+ZT6dNh9n0RFrUx7HvCXZ03wKYWGO4mp0Zzxh0xrfK2xwOG/Onkdn12
SPTCO+n+7H7USq9C3eZMyVlvNfdUxBBMZ3a2YaI5w0nGZc+NqkivJCquv+oJFHxKJf+ZNIlJibDF
EFF6xyhFg0CiMM44qAo72xRXFHXlk6om+26MemOn9V4R1lCADtg7EQH1hr2lzMUqXDXG2dfzMsws
W7G3UcM9+3a+BIXmlYcxIaxn35wodwvjHEUWr8KMaTeu++QuyobxC0ai6W6YrV6sXapIa0CrjJfO
3xaoxIekIRV3U0IAfHJHEAGbcTa+dR12w7UjbPlda22SkekUy+fAROS/Vcgj7oZB54uWEwwf4FxP
DmarEgHbGoacuykbfGqFG1lyBRmSYoJTeTBSBQ3VwJHeui8y7TqL7W9SaGRlTrL/ms3qyZ7NbwEB
kh+V6WDe77X0g6RHfUBbwikBEGnsMMF8g4BBuSShMbfPWmaMrGi4COBf5TNlN6yPit+R4Xg9lojD
n4FRe2sgSt6pJDjvvJj3QwtU9o4WenJHXzk7xBWexaBrOjxBvr7DLT/TekRZRVjLxIaYRMFsPRd+
fAQyaO5nw2UAc3bXbZvJ3Vj6OTFK7KTzeu4fZBPx4S4Q3Bh+SthGPNULRyQ/+sy9CGDrPgSgZ9/4
AacTOiwiypIy8sZk2XRNgSvLDpnpllvUq6gXVAvaet13kXFv91F8N8HVfMgqmve0TVPnBn1mtkvi
WKcc2EWvEZRqMidNLbo2x4Co1DzxvH5lGzhmsiiyb6akQ8MbT7BK59g+Tk3XQljEvGuU83Bw0Unc
Rpql7cSymMdBHF9BuHuOyna+Q3tHLUs5g77vk9Y1D20nwS30qlDrPE2iV6mWtJ1mBLJlaT3wtynx
v9vQCL8T6SvXQhOk2nhG8JqwDwrjvrVxG0OqCTUBvSuqg+V8RHrubiCWf8XxzpkUgypCCLX6Hr3A
tEd5Y14BOLIfdXgwYTT5BmmnmmPsfK9arJ72+ME3o+FTFTnJnV62+n5IzcLd2D118NRLB2tV2ob/
xciFPKIcKK9RFI+fOwQ056qPgxtlzNYjJbwJsIIgL4okc+c0mgg9rSGfQaZ1/i0mgOozTOHxrpso
QShcfdfs+10cut50Fm3gnHLa6zujdVCrTdJ9aCaLKvg8zft21PxhTYmFAbDPMHkVJjGSHRLbajXr
EW4ljAzOJkVtuR2iUSedw5XlKinqhIzdIfvqzK7YE+QpwlwrgdBFhrPBjehsG6CfO1mjeNqIBrsf
C0o77HW7PRUjrlEICW3yOJslciP8YnynEyUu7WyywUyvmo/82hgKQT0fJxRYJyczoaE5UdquM5di
MY6/LDj4bBa21N1dzJxxcHBEUG/p5te4EmMNI0SelhwArqq1jwJhywZBhvrUdQfIggWH0ZKIElGL
Dr1oIV2aehGsiWPlPKiaBY4Jb+YWV0/7SmWXFLp6yO9QYfi7JNOnNcTl9lOKVwzFjeftpUkfw9Or
eWsigjphkax2Y43IGsBn1gCnrY1X6VViwjWdRt8FtMPnSRDBDRMnP7593Kxc5wExbHeYVFyaq9nx
sINTyL8R/iTDwc/RvHIPz5xd6W9sIybD9W3IdG5ylg7CRuQ0mQE0iUIu+XZSvHhohDeDk/BRu7O0
EA/ldK4aYupNEZv3dqWij5md1M9DWhIlFPTVDpEipbnZ0HlX6+UazWCw1lWfH926/wwyXB5oDIHO
iXuqMH6UE6gzLnkrUzdcB9TgybpMHC3sKD6e3VwNZwBtpM9ORq32NdY4ABeNgTfHtFAM6T5Ao0wY
Kqf87uIEsLN53ksqZN1KV+68D9DEPxhK6B8kheC71BZcuqb0cZg1fsV6xqUPPDc9wxKRFB3VjLKF
es6wrr1WeySSGQKwhu059K2ZQBzP6g49ZsevgcGnsc27D2XnOqfIqINd7AqxQQQKDallvQmz1OkO
VqPlzyOV1F1Vte5D0Lpa6NgdBWAJjTnOA3Qhy8tOBAb4hQxe6eh6WmgZdGjqQIC9jEC1WIRtf0aa
SQp5ww0Ozj0/ztzRa3xOMkRnVn1DGNUfTKGLR5GjrOVGim/dRItvJIwIlKSkxbm2CHZp11Q7v7Pc
D5K9qFz1qRldFZQWcTohjNqZkaZuJdQNnEL68G2oIu2pXHKKEUFlxsbX3L+vUy5V9H2i0RAq2xq3
+lswQ1poj3GUM8lYOW1/kG+h5qj0Y9UL/w5YExYqvXdeSF20X4ZOs18yp5mueVO526RNtM2UptpG
A5Gyh4Jcn+Gjd/dwU6vQBJ4bEqeqrt/OukQRTcnVJx4p16Ei4gelyJ+dnK42CIAnd6rqZ/Tg3Ihb
zPP6yWuTKiQNRB7KSVph05bGWnW6zUPsBdOxpx9wExE3e4Cmjszs7V6eUfbcYU6HZUhx4jRDjLz2
REUvqvBinPJyaFdEbeU3epuVB6Ko3Q9BFA07gCO2s/JTXob6bHP553Y+5wINIKJrYl5HIIxrHacw
U6CBwVdLX7t8UtdMCtPBbKLqhly8mVK+g996Es30rMPDcmgCAPudySvbekYOPTVAztznXnZjEQix
7S0zP9p96ZwycJG3VCy1MOoahV5N8OomcVjuPNin1krR3M03ptFFVN8Moud4Nw2HoItn2o+2AHkg
C5BZ5JjVj30NpqFnwmENVHniRLNOIl9CQNtBsl7HJDecp5Hw2TZyx61lGmDE27zSHoWu193aL8Fa
gAoDYDMwbeix4NGUToPIXKQOuJahhSzfDNVO4oF8XkDlYdnMLKuD1HjVY3s62xhVgKKM+usU+Ga/
UikEDc0W0TERPJgpeLjjrMb5rsOcfHRHewp9OXUHevEDWQLT0LSrMnAH7ElDzUyHYne+013FM69Z
BSq+iP94xBUaoweOkuGKHKtsHfHR28wyMNAisY+wTGb2LgXMf8j8yN2NLURLjujGS5S5Rqmf0ApJ
TfSRaflAsCRSSj+rkBAm2o69PRGjpOaZIIwmHwhG1T5YgzXBsUy1E/Sa276BKlHbLSLWTPvmt/Rb
DRu6RF8Yq4K87ysOI99gW2XmdGLRbX2/G8O6iM1dFKUDjctIwoxwaKlCHfVCVojJsZkd4KoJzo4G
9GtOH/SLV2lfxAzlwBTW1lRjuazb2oOfeCjI5/RxrKlHd74W75mtdpyIYQ3/DX0t+aRbtM0ftApq
BlVe9AUpUt6NP5JCnlsdEQW+1A6kSdth4TUcb9U4NqsqE08SoQRn1UTnpkpipPI4ZNy0QItcW0O/
m+cs+RT3FLdzBS14NfVqCJU/1w8NREAMILEOUR1k3CnJ3Oa2Qur9QYtxBfFWL7FvNv2XBuDDg2d0
ttoUPmle/TDNx8WwtbOLpN8jR3XUpo5b+5Y0vPk2i93uoYnTPBxKLGlrpTq6fbPrhsoj2DDqkmSH
JS3bQnyjGqcX6TFGLIkvRLavQTeXJwNT+37OCyeAjFvHFq4Ov1d5fhLVK8t746NiO342aMrSWjWd
+m5AZYStAR8TiFPo4IQrBDt0sjiw/J5HEYIACQ6BliySXq4iPiLn1U7sdsQaME83tiGzu8pBcdin
U/fR7VhfkUCQmNcT3UAgo4gfwO1XL6TKLErSqree9eUN6RplAyvAT/aqqvpTkvr2OSFy4aWSlrNX
sh2PhRMPp1Gb8i+SDF+MLvCxVzX95NvBa8qvpfD09eBCIxIiq00ekcY7GrlpX3WSHbirscEmuLyy
2esKuw8nTdpPVkXvNY/ApNMnHJLrWpu+UYv3P5i1V2G9mf11HBfz1hEFWmwEFCvWeDOvwqRM+lWv
KfxeRA+esqzI9lkDw6XBVsjl5W17nNhV4Ai05tVoAPgk8nYj0vJRK9IPqpIUtJjlaV7qNLoDSOW5
0bxAhrIghRRUL3Tba/uNw8p4Vwdu+VjnZX0l58I8dF3EUiqMyykCD2Tnjd9re4smPCQUG/PuN+Sl
i6i1cw5G7/rPSFkrqNS9v2MXA2tHS6OnwtIkcYpecctSMfusDKt+ytq8/dD0jfJ2DWI4xOERdOsd
Qu3IoUXBkgYrU3WHdXms1qJO1ae8c0243t2YHQez/xaP/gh4H+UGaRLVyWJl+6WCtwjexRMbV8uv
6RgBTQIKUOxkDiZn5FJdEWkwIh5oG3lNITC+JgUSyJK9kDew4bdnUvmitegy857n/ythRMkKn/IQ
oJczsU1Ecj4GtehvaTex74iL5Fl1AsbSRBSiARjrTkC5eaUM9slGwf0JctzD3JvC3npuMmwg0xsk
Ns7M7I1mEUbYFw/o60a5TqAy3Ds6kYFrPP9bF6wKuB18Vw53/F7za3uXJK53ZebuxOTS9SRJkhix
zzIzfnUmh2x7ZkK8GVqMRUF5j2x1eJ+QHf8pKj1908TBi63s8aQj+t/xLVg/FGIWO7W/klXbYTKT
02s8RwNakJGYP2FN2TkI5nE3dMhdgtr3d+1CDF5pASeFQJMXb0jsx3Sou23WpzywXYAshnYbOiQ3
2DqEukorocMbeM9MyPmNamb32LYujuwRBE0D9epzvcCOi270KRNa2bVLkgReHyQMuIFY3SqBJyMe
xuq+mkXMClej3lzKA6Ky8i5KNffWa3X0gRlkMyMZrO9GTMZinWGc6fo0PkZV0t9UjkquCid3HnBK
BRWBSXOk9R+zSqPLnAP6ZboNB3qNm5lOLclFvbsHRQcki9bXbhqs4gGRgr7qVdXASB/0XVf0RIfi
MFCe7hJtUk87OXafkMN7+yyGJjWyEDwykWr70gqGK5Zy3nG0iTIRcZuz/q2r771E0YyEpnm12gzP
vS/7li1Am+SvtZ5l+slo+uhEUz/bUC2B/Uzn/bE3NTWttcB0AvKNu9hc11XbqpWF3cLZthVl5LWf
dMF1NXUFUNGgWpXOFOySVMSbhhLWo2uKb0ohntZnlipda2H4nccv2HPKo1OYiJ8ch01SO0y0PvPs
UKaBEbKd2OMPzo48/84Hr3Sfy5i1sR3V8Z5VYbGh3PFFmGm/qfUJS0jG+xV3875X7mePLQgSoyun
Q/QjSQDKPMpEWu8bX+ygGE927VjgA1B463nV3UAW3Q+BFn1PyM67dXTNvBMq+N4qW3uOefSe8D52
ycYRdbtQHxU55jSiV1rl1DvUPH1opm21cWU8QBGhAvB+IfTXKqhJ14l2/NKcooF+IX6zRIDlNqX+
6rVZcTTK4QmVKsGvLrtbuI//S+UeFgR6ZaztvnGZmxd3rW5A+WM4tBmPrdnu2AGosI0Asbx/YMaF
ePKvonaAeJJlOB2Xy3wqCC1/F7URNo5fxFuRfor6rwj71Eojg+BMXUnfuf6sf05IK9/LkXrc+z/i
d9V7K0A07SIxREN60YjJUfHPKK/w83qxfef0NSU9tG5/GOV37RAu4VLDRvVkXtKIbRXZvV3Sg3lr
h5AERT0ymNTKsLPmD52X3x0QKnQ2QhalOSirPxfNcxwZIHFAwI+YmDbmWH9y/foPUZZ/GuOiu5M6
cN54WokDNuV5drud7Zd371+X394c3H8GF4fbAz30z8cRBJk/dib26YYX2DnudfMI6IBq+TCmHxKN
VguOUP0m7qi14nrXCRJHhvn+j/j10bN0HTSKz/MXsH+5aEDYsN+tJZCPlOUO42wt3fVo5O1VoWW4
PJug2rw/3q/nlfEwAmAUcBY2zEWXp2Vt5U+NRSQJPv0TTsU7LzG8P8wnv96LFj10x3Co75goli8G
IWpGwu0r2n0q434tGkx5dTNceRkFzfcP5zcjcRA+TiPY4JbtXdwmgUhTopxhoDG1YffRxIkQ9sem
y57fH+c3l8nwbFM3uFbMXEu+7I8dOIhg6PE6FJNzCpqh+Kz5xToDUJe20R+kyOavzUbrp6Eupgs2
qm5ULuLMfkCGbFc2gNXRQ0msML6F7VDNT1Dlyh2RqFG3aRGnbfSujT7CVNdCibo1zGgB7UgRFVTp
LapgpT3nR8fPmqO0lHaIx2Q+R2Q03dttZQEdoGTM4koiiZKZJKG5UNdj3VPGmnqXbBDKDijn0vkP
B7o4Vi56b7QyKe4DY4bACAzq53NaFLNmBSRz72eRyJegrPRrY/DvkdOkn8u5946ELtFEKaKPHakq
W5SFbJyUe3DdMkzh9a2NFmyO2T+VEasjic61qhFhj/4ZAz46ujqH/5GPFB1Sy1tFXYZtMh4xTXSD
6R21DEansmubNIUZ0Kj0TTTeebZhH+9d5TZahiwPIuxndbIJ4nE9e7Ha2BwhrIDY1Fg8zkJ/RRBc
/eGl9Zt7jYAHIo2JIfZ571/caxEEVtqwE+cl08TVYEDU5aornNUd7E4FzXj//s39a+cXxyhRx1CT
kL2Q8fHzhWix6QxjU9b7wJfIFdO6DNu4QxFsNQhc/VheJdRfHm3yNE7vj/ybx5e2tr6guJF6/CK+
wEE5aEnvVnv2utOHwR2NT8iMjUfHcLNv7w/1m4Oky8tsxIaHP5c9dJojLDqnvtpjp6E0OixpWJSD
sRGTT3dAoJ9CT6DLBtHNpHL3/uC/OU7WVRYwJgeJBM3mn8+wl8fEyNdVRboY0UEt7sIYyduiDP7b
ffdf7Ra/jgQ3iOfJQ2HkQf+5mBDZCAIHBb64N33/BXvFuDF9DMLgZ61/fJuy3EAwhTAKGQYxDD8f
UyNAjSCaL2guwmyZXaovVnYDnNuFcOJ+/acnEPI5BwYNyaCVdPnagleCDadoOSzyKfdaAyCcRgKF
XQESRvzjdzKDsbRhaeDQ1bp8fbU0iBO3LzkyzX5MLO2lnf2vsHce49H9wxpkeZZ/1h8wFPocl0Pj
9XKJKSM2MJ0qjW6s1RShRcEkqOHBe8WANLUajtQq/rQa/f2IUD2RsS0P3eXrxW48v15GbI3hSLjO
5xqppdXlcCAStwCLY/4hJvt3dyQLbyxirDoY8eKOdAT7Dhl5+V7r++NUDHvbzm8gdP5hmF8XNos9
Eo0MCcusPi6VVfjhVZry1ftBM6HOAwk5NIo34vv34a+zCKMYYLCYmQkivQwCVvCE0YYb+b5DnL5i
u7cusv67V7l3WSvpqvlYwaY/5dFeZCgvAQeMysThOdhFmS0vHrWonGWA/iXfB85EKazAsbiumhzQ
QECrbia1E19wUJAZXdvEo3pzQNalAG0vVRsfCppJ25Fl0YwH5x7wVg5JtmFxsCwL2hoADtoY9ykw
Rxc8k3D+MMf/9sL4eCroCJBJcnlh6EsmBeXNYk+JCiv6FGRHTVHseP/C/PYu+z/2zmQ7biXLsr9S
K8eFXOibQU4c3pPOnqLECRapBobe0BqAr88NvagoycUkl+Y5eYOI9whHZ7h27zn7oKsEF48T8Y+S
s7BrPiNxle9L3EFgpIa9npGE5HUfVS1vvLAYT6ltWYeQmp/dCsfLrVLWJQsR5gKm2ZE4jK7+kVP0
zxJg0ZkhTTLxtaL6Wq7pL9q9OdXNEbp8hoKghRbm8Zkanb7boJ9+HVL776toDodMlE8G+AH9fIdK
BJo7oLrI2DtG35Zr1yTubdFET+/fo7deHp+33UOSy8bg/DEe26w05oqXJ0/IssjIY1kRX/mNjmu1
bWLH/6pymR5QsbQffKreWvMQktrU1fij/9j00D/RhWUPGeGl5nVXai8zETAy/YT35Z7l+oOjvfXA
s+0xedjZWf6hFsw5R8+VbbaXkDV3het4t8pMtfX7F/Msk/yfRYGL6Jl8jixkzmfratCbYw8DPVvg
0fqnBKPHVkNxjKsQDA8Nek89ptAdcRx2w3UNRerKyT1rJ3yEXfMkoSHHqVwbddSDBvcZyvZ9+tHu
9tyj/XPlAkBoLW+m5VD//P4gN1GrY4kt+NqMNr3Crn4xugBLp+W3h8Tzn/qR7oQnBZ3M0ko+ZWpo
D1FQPQvGurMru6NUhX2giwS9ZtLkKhCcx/sX8o13jcEWJShOWnzE5x/E3OM3JCPltirnb3I2uq0u
UVRFOUPs6eX9Y73xIBo/hYbOolil6v79cpjGBDnS7yjtI+ObTsNhXTj6Szvl5R7uRLpBM9x9UGG8
8dIZBm17Khq+WH+U2EMDVqWJK04vdT6LJNZCE+4vzUwCzwgVrR/rRtVwjcph//fnahjIOelIUSCe
r5S2toBHfQis7NWualc1yHPzW2TJ2Kiy+BOZbPHf120ccGkDkDsSsJSdXV2XkUNr19Ve02McTcbA
aLK0ultFAuee+KyPjvfGN4fjUUNBmkW4+vMN/WWVLqIGbxMpP3sY4ki47YYIybqq1xayuA9O7c1D
BYCEfZgHiO7OPgjSs5OO3IVqbwRVeUPe5Ey4ZedeJL1hfLB8vfWMWrxQiw9hkTyfPaMDuphypjOw
b4v+oRcV+Qr1A1SuZgUH6NYncv6vN0csYJguTMcw0ZGfv4DGSMPdbOdyP5szQh9P3TV9s5YL3u/9
J/KNhRltsQ4Rg84zNo7lIv9yv+QMi0CP2ALmsfMElnHnz/XD+4dwLP7GWUH/2zHOV2UtzVLb5hio
eo2VjUv32Dqtc2f2brSKcixZSayrlaMauV7Ceh8r1XgoBhjY9H6T0fzrkUSVhLVgg0cGYxkGFqop
3+NYao6zbYtbM4BXV04g3CKpl7uCiHSiqf0pRAsHs5QcpP0MxOnGMRoEeykzvLs5KFBclEZLqEvR
Njt9qCPYoOjHrtNcpzqsEqCDWdJci9ETO6Npp0PuoNMaLIDIA2T+vZ8FD6RytiFXONsW9IqalUAt
tEehVKwqNctN1AsHxWCmLivbSkIFTmr7/uV969nkK+4ZPCcWc4qzZ9OtcapPLs8mWsGXeuxeQHhf
25a2tQqSoTSYO+8f763XjpqbYo/2Pcr4s+M5YiprEiXKfVeLped0pczsoLryg+L1z5YfFFTsEzT+
6BHASfj9wbTHTFjNGJR7lKS3UiYNwiH/a509Mok6MZUOe8d8jpvygy2T9fZx6dJyRdlcnxdkgSzq
QiqHnkg1zZ/FqOMSamztFrW7nm8YnLPHWXynm45IvHVOojATrpKFvDaHg4PU10mVdrD0XtsanV2G
EeowHji5w/jBGCtIXx1jYKM+ogfKvDleBx3k6WTwSKAwYMNmNv7e2alXWZfa2aqbZbxJ+T1rslO/
I/w2blLii3YS2NoWRxf/O0mzoWi7dONpnvmptpyPbsVbd9y1eMaAprNQGMsl+2WNSPTWKcpsKPd6
9zLhC1lNSt9lADU/eLLeWot+Oc55YTTIocirQJV78t90IrLdxQsvNu8/vm+VNiDefsZmYg84z6DT
a+Ila7sp9wydiIdzALzr5lOVCYS17fSB6ezNg9GvZM8S4G4730S4DYtRiYUWEQ4pJKRB7QZbbpGB
Iajskg8u31sLgUvbn68Flr0/it98mqDKIaWArt/cmq3nhkY0PVV58x0szi3e0A+u5DnFZClk2T2w
5V/apKZ3PqeZW5lzfanT0jEXWD1M4+jPjTqY9OLXlUXevS3rLhxlYN0leiT2JPW1u7hKypMf+9kW
vsr06OELQKMdEZv5wfV467HlPlu0kejfBucLoxqjVssEZY6q5Xf48EQyDfcY6D+67m8ex4OFS0Xp
Lr6Z31+PdtAmQBxusWcnKunmdC/lpKl11TcffEjfKltpTuFe05d/eGfvoaUCZNwIsPYdwnF4Cxtf
lbdN5RxT37jOq/qhyIMPGhVvPcC/HPK8YE1nm4wsRy/2mhp3cV99D+wchat7bKrhgz3HTzrReZnA
jpQhGeUje+GzfVGnfFvOo1ewzJjTM/FMP1QSuOGQG4B7iQYMNbBVYcGKvEnqRXCsGYs8i4SxNhja
J5umylME5XTfm8iWsbZgNhBdcw8ds1r7ZZ6HRdT629FT/iffYdVckSyDakJrx/VMNsl+rswfujLR
tFf+epT6c1r1V3gS5aaj5Ev8QQGyhYzYF5N5L1Fe8rEHnP7++vTWWxwsTl1aHDy35wPYPJdtWyJS
3s9yPsww9Fa4258c6VzQM33qkkl9cMC3bvFiz8Ax6NFsPb/sMjXiqaYY2id1ANBU9o3czux+11Yc
gVFoF2HqX58i3/XFbRxgxPljdxm4k190ppXvM8LIwZtO7qkUVGhTWrVPRHTNe3RIr+8f88/sUd9G
e0Mm8U/g0h/9wlgjKBfcc7GHhxOEQvXuvS2MISytybkQVQ6a2yz8NQGMi+GDaYe/4LqLfu42JFUE
O00pJLMf/Kg/x302qgS6Psuq7f2x9yVLcpbRwBvdzhF6Niu2t6jSrC3wgXYXEHaw4klBPuXkmyBu
RDgxk0F+bRvr93+I9cYatvjCkWMYbHPs8/a+jjSC0KYEvGKZWoxGFnFzYuXzLQJLIPLcLu/QpUgS
8Vm0S6aWtjG0gjnqQk+7UZbStxOcm8/CpvA2u1n/TFlc7oTikcI2kRF8EDg7dLnfJxSZLNnDxnZT
AcJfs9dEsnZ74dbehuRhb+3HFyb5mvcZ2PxrXlucKIB/5yfhw3HLde+LDgn1g435W+fPBAwPurdM
6M8bR7Tb0hzWD+efZ+O9wJ+7H90xeUoMTWzfv9ZvHQr1JVoD3Oh8NpYq6JdqiqFTXRfLZymoLLGW
tb9YekaZHQORx0/vH+vnfTtbU9kW0MJh98pn8Hz7TxBF3qsiYXNAjpO/6hgY4/gg72oXyWpYl15u
XBiVHt10o6muTFOLb82FVE60miReTG8OP3/Q/+IbPsI32D/TkP+NEvgj7/3w7UVUv+Eb/vkv/k3B
BNIA7Y4qHLAgZQYryb/wDSyj/7lskyjB6CAvwqP/R28gI15n5El32cfsjk36/9MbjP8MAhrOpAMz
PWHdt/6G3vCP1OOXx4zli1kWPwvLDMPIP/pamRHVPZHM7hVWNcQUUTnWF6U3wQIGHjk5ZJJD8+F9
Po564Ob3cyKd4BX3/HdRzc697WWWExqV9cB0YXzKPC25cGDNdHjqfD5BsnT9YpEW8B0nTm3q7rR8
SVoXMWKrR73EbrQCFpVbxQWGonYHyj5NrzxTBGQH1Lm/TVpRHoposkIv7euwmIx4TQCZvaaT5Wwh
P5nmJg36W7RF7OBTXWEJgpt+2fawtiZ3qI9m0KhvYJue7aIDcR60+pdcVd5Ol4l8bopMD22nQIZh
tS+4fw3O1xfYUzyzERfzJMa9Lit7y43SrspUi8a15w1bofuYUMImMOOhoePbozJcNOFINs1EpaSg
CfMJ/uWl3aNYNRIyBVt62ndTu0QD9Igfh05/yp0keBydcboey3HBBwVP4+i7mwGjXWQNxa2davXe
7hvzqikKDFykctDqTJLLYqgUowWRnAItfwm62oGajfDVkW52URdZsMsrbXhtMy86TGQwbZlV5N8L
OGebmZLzOzmw4On8lkgtTMXf+95sNoFKxs+0DlS5IqOX1D8AaWFd5P6zafbZxvFSHIJ+9VQkxVOt
ceiylmD6hBq+RJ3mbDBwVhs7S8AvSq+AKKYIJF7lmMeNlZUExb03j7a7inQhD8sT+VgPrbv1DcBa
JA7n2d4zeyp84Xkdv37w1qUGiJrmjuVOa5mPql+5mRHf2ZmR3ZAvPF9HSuihoLt3KSwT2Fmijw5H
IVY7AH2ws9Mc/QNwweReuW1+6RRyuhRQxE/wEVLk25G6gdvXbMu2Hb92y35ohSegI59bkz8CZlU9
ChsW3MJL1SWs8mRPLl172UWYPAhXVvE3YeZaiIPd2QuDjBo8INJDEwyRGCiipwO+mnQaxcFMNF1p
6mVYu8jUY7/tP1nj1CtcLJNJcmRW4+bQvWRtxgJxtzCdEGspsbNVYQYXQ1GQa9FJGnEhaHMMLaSB
wkVT5MC4dOTmqX2MAUQXBOKa4gcxxxVC+TzYe0gXLhtH++bOjr6yhCDHENm2ixRZA66JAbkILWlJ
coL14IlklmyFkPwCI1dyA29PkNTh6K94KEi/JMTia1ZHM5alYhChOwjMRA00bPIk1Gc2hNaNlkXe
msF5tO0h1sZhmanpokKC2oU+gUtHH2afXMPAEoQkmvON5wB/mmtYba470g4ZLfPQmllzl+sOJUeu
+k+OwISSAOGecE9nGmkRcXKhSYtYZKxtBeBbTgnGpq+vTCihYeEpwgKbYdoY85Duxi6aNony58dh
RIE9qNrYCgeDhQgwMTWdHZ2EXzY3rluvjchvHhJgZneB1e+b0pqvFejssBq9o9PzWmN0N8dDEhVQ
7pVb3aQFGw5DGRjNgQlO9xmbyFPRDuaDaYLRSnSjXmtLyGuv2Fr7Ew7tQ0kZcz+mtRkikw4ttion
AOxkSVTqlhjT5nJKyV9k8dSv2p7bTd4Nw/EisVgU6mCNY0c/zLXxDdqleyXpax9MYzAPRdu7q8TA
mID8HQ8EN3nXmNAfo0SiHpATHEXT6u5JG5i+Y9mR4ax5E2U7ZHlvqhcYFMp8+IGmCI3EyXaMkeQ6
IZ94pZtzd5GIfnzEvGBva4k23/UH96SPaPOZF6hDEAu1jrLA/2JVOr0CqfJQg8K4aWzQQASHOO4X
PoLzHt6K9t1Ia201KkGQtWv3P9JIq6DCJdUd/m0jlLRfoYnrL/FcxJvaIPPVhCq284dWa0IZ1eIL
ffXusinyu0WzcxSkcYZW08gLM4+7mxmN+VZhw7rRjSS4bsWiBen6aN7YuKd2hY1607RGfw3cYVj3
nrC/0xEdNsobv/bk7IUZa2a+ijJF3LTraJdCAzWDcF89yRHPq23I+c71VUBOT+V+6X3Bu2G52BIc
Pz8YSTayI+o1FqxYrZST2M9ZThCs79XJlYGybzfrlfGiitgmcGgmcpcl3VSTuXcGZJkrXYuc+yQx
xrXUZ/8AFuJu1o0D1YOOkJ48wk2mE8i8KjEXrDHT3yriDp+0EcNc2hftanJLcUNBDCEJX6D6pMdu
fQys2jvGNJd9VtAo2LNuamHb6ZctsM27ee5v+jjpVqRL5hc9FwzwRN8/pJNZHBF4ESHtJrsyMMpL
d47FIfC1u4wYpXBUTeWvLGvRZpexT8St229jH8hka/X4RP3oMiVHYVe5bX9YMoLwgerJGm2efeCF
Etu+QD4Wd/2Srp3XeOei4jLGCMunKFIvItHlTgPDdjEPrffV8PL8tWmlduW0zW1rFc797NuP+mS3
VygbaxIALO/QdNrMZsVDWup4w2OLK+vouMVLOmOgFakXk7KaVLth2Yf0M/vK1ajF7RErcU/CWWzf
wWCububaydY4QJ0B7umtEUvzi6ZK+Cd8lbHVGNHwZOD33efz4FwWMkkx7eHJt9I6hLxMDIf9adSU
jc27yDcJOakrD7//Q+DHEm+iX19Lv8PFiw1pq9fRd5+0rJAoI7HzW7QuADnzfVvl86WwMQNJaNif
B7TBK68lwVjOeb22Scb94dT5Aw7jMjSz1LvPIn5CZ2RdyO+bVm5qnQZW1Y0UxnPUws8vKltcp7LC
M61NJ/ZIl1Nk2I85ptdjDdtkYzMYwWUtgm0yZtFz00/jDnhx8wyunyyHgATJaqBV7ikmIbnbPiuD
dSXQC2Mbk9mQLaSRvBcvWu8Q3zVZ4AT9FCtWMBEXHecXY3eB2d3GNVYRw2vnVRwKX69CgevsMdXc
8p6iKrsoa59PvWOQDJCoDJpYVXUGW+pYXuXssgt0nDt/1JuTsjB4lqOjgSawi60uzBhRdsmyY6b9
PiY+AQa5St2b2pHjQdg5+UM+s7gpTZ0QTsVzayxZt17jyJ1SxnwtiUMLM6cxjtXclFvHV+NL70d+
voLPSpGCExXfG+TBkvF9ba8deAlfy0zIZ3cil4cy96WIg2jND/kB2KLepvjSkQeUGnCDVvfDIs20
fYyYnCjxOitS7AxZeQJsRTBZZrsbNRQ4aTU7/hZ1UEKIfSNVs3CbboWQihyzLL2m7g27ZBlykc67
1dkLbmYVQWpkHWDIRrUp6BjtI0vTf7CHdVYdIrVV35HvBWgg3hgJPmZKD6DCeXbreHNm0UafyEBB
3EAGHjQWnVv9DDY3RhUURRuv7CWNg6nNyJaDYUN4V7uuCUm3CYaOvM+10Jtga/Qe8K9Zv/UkHySG
cXF6ZajO+DpKL7+ex5EFYTBzYtAycxuVMz7te3+M+jRaR4Mvqq9JXwxYbosyxwDljSLL7GPk+El2
0Y1+UD2oaeCqQY0fNZzaQUmlvEobF1gIGXqQKQkJX/CYgBOAL4IYX2tdhJ0SUtf4XbpSfFMI0sBQ
tM5n/pvqGc57tF2c1gcQMzjmjMEf13rrJ8ceyOSplvzbVetWXyzePJgAzZYjaqcsIMmjJytll3iO
rFaxHMtvTaQD4UlG/+CaxswbDIrvyuvdh1kAjq8bx/1m0x2MVrM3y4vICdSGSKzmrikwkadu0RCz
JotbXQmxdsl4I42INtfezjt/WQ2mNVWfucZmDZ5DtcUqxgMMkyy3N17umBd62drHRieDN0FTuPFz
Ma4ddyqsladxPD2T1eOYDPYTACBnXLWJJKmJdFjw6noOsJQrd6ewJYRJ3k1flBNdx6nPZYUMMt6T
JhevhzROorDrZ/00SQxtaQcxAjX+SBYCTqV+FcXSv/b5CqPvIuTrgBmNGrklLPo4Fmn6EPs5CQqU
nuyZ2uFqKuf4vnDmdusvFzsqRLrTGKfFK8csxJUWDQzoqxJDtdtLyJRpW99HUaF3sAX4V3t864es
bco7EBsNfjyj/tSIxvhsSL/+XFYxvBxPv7RNCD0oT3XcsKaUYLID3Mr9AFQhKOT9IMa2XEeRLL1T
Pwr7ltTtF29ukOnTzY5x2QsdvrPS+ewnsHrUQhFyr7N8yp9SnTw3P1XRboHJ4VbscWyyFeoesX2q
b4NmWKGE4nbRFrFc84vKLXp3XsKxKRE7uJ1DuFXdUOvAGCKnXDjqdabqo+LXaNNhq5xuam9Bc5ZB
ntw1cUAlVs9E6g1pb27g4hgbE2XkgUjJ5CAwR146YkgOOBm9q9xh5+CNLg+Trr3mfjU/ihiTPaZq
l5MjHa3a6E42PWUsFSZPvtLDOfUI754q4rZ6Ge06c8jvwLTTS555rprZxpmMi/MYmRmZVFS+IRQY
8ojTyMBZYCwZeOVSyBpOc+kshICk1J1lBSO4c6oV7tQ2SYv6c8WwoLjGtNhamxxRhHWqDb4CK6Kk
SIBHtEvuE35ad/4G5VFXNzjW070ryKRLABtOT105yvFhVlrK91Xr2PB2N73eWp656bH/eoiqGD6r
Cy5J4/tbzPOC7MXWqAgs+7+FPbTCJlfvCpL8LtI8pCB5MX7QJDfOpj3w5lAIO8zzqMro7pyr1mU9
qhSAoLqKtdZZYwQVKwNbNHGOAOsh58fPZmHthtQ8Wpmz1exm6whj43uABvp501bdhlPdYeRfZ9Aa
3u8rnvUw//ltKNcMGwcftqmzHmZhDHWpR3QMpWyuPEmtGO2TjwZCbx2EaN0lqGVRYZ5fACftRja9
g7pKTB24LltgLd+WXvVPP/Z/W5IftSQZvqDU+Z9bkpdVT6zqS4me73vZJWTbf/uv/6CXvPxX/2pL
+v5/LhM7OGforzyUeOa/25KBTcOSW8fzywzW/Kk+/ldj0oIdy0icVp+P+I7gF2Zg/8LKmvxButTs
X5E9IZD/u3Aea3kOf+lLokQjkoeeqeOh5PX+cBICi1A9MXfNwSkjIpRJKzDudAGOBoi33FZ16lMU
SU9/bTUvegAHT4lVlNFRa5Lo2C4hlV7uAT7S3XKX/RxtDAZDD9/PtAdfFgTKCOkkm0rvgtAQKUmb
pdZ/T0lEvxxFTFaqWXebn8ClWBTRqdJtPqqkgA6E10ISMWK9UbuuWMC3deHe94TDfDBVdf+4Ajac
kGU+v5iYkJv+Pm1IJ5+QnEHKw9gY440bgUCKpz5gRtMt58Xv/uURufnn2v4f3NQ3TOm79r/+4+yl
5YozuFySkNAF+ChollXtl+mGCQ9jjLNMHpTWgNqJc0gDillSBHTq/SOdDUqXI6FaJuSJHm0A1PXs
zOaeqq3FnnFQEa4+M02p5ybKeNqbyT1For2bSGq4e/+gb5weemkAwoA5F1n48v//cnpo0FtVlG1+
6F04SZgdmnTRj3jOuh8Xn9TfHw0lMyIK7JXuH76UOPBVUhYpHQFdOdmpbIoZcGNjqOs+Dx7eP9a5
83e5ntSuy7CfKdgyBvz91EY2V4JGdnKoxZhboSWiNl8zqmJ2zkh2JehiX/dNb1yqNhv27Ho7SYAS
iIf3f8efV5jPHhJLG9sC//TObmtutN5U9FZ6qLGHifXYTjA+4ih6CFxZ6R8c7M9nyNFRxyLQwf+G
/PFMctCQDWJ1jZsepDHPt5XftOtO4w2WQmaC3dbCaPJKyD8fHPetk0SaghCYmYnnnhvvsjhVSewi
7C/BL0Cn524qq0e1UCb0Mf7qgoL15u/jMmIUxCqIyvP3+2onmjIGESSHxKhjUCCTR2WqN9OCyrce
3z/W2Xr781goVrmUFC02dpDfj5UWnas1Gs8QiERlrKvIK455Yg0fzavPRXrLOTkocQOXRYbH1fz9
OFhw28atxoSGEOnsayolTsqeStD0g+XciyQp8AY3HX2nmd0EMbtFLP4h0f+PrsKzZ2c5VxDrLHQG
fgMmaWfPzjAZWVKTHnyIhoW4QUmElXaGlB+RTXIk84s8MteaPljPf17CXz5py2HxpXLi2OP5hp7r
14bYHao58ijXcd4/Nez7jmjqpiuZlmLXWJIM4k6DWvZTyeqFcM+n4aDccvxG2V430KKC4kgidrQn
0YDWHJ3oY4Sr9gOJ/Vu/0+HGgEKgOsCgdXZ5MseK1Oxp2h5/mvs6Tb3dMHbIA25RDqJ2X4J29FZT
qnkeCTAqO7Gxp+C3SOc59FllXwRdEGG89a2rQHNbb8usoEoBHwXesPvbp3ZRoVhM25BA4GA6+6kk
RHQVWUjsewKwdGEW+2NGsnHbbd4/ztlbz62jkuWWIRFbFFzn38ZEM7koWpscKlVB1ktm6ItlVjkX
eWs79+8f63w5/3kwD/8wX0cnQIp/dlKTj8TaxsVxYNSDuc2PhrUOYhdvnpdtI1PGIRLS6cLoRw8+
chnvYOx1H1xYTLbLm/j74+ojLcd5i6edsMVz4nreSM3kzYj2HvOL6eDlJotpF4yWPMS9nG81y9Vf
HQHLMaF306wmKVB6JUnW0GYudOeCNNvoGPT9dAObCf5dC0KnCWuGpLTgs2I+5WJh4bH/vZtzK/ox
QK/9hDh8Ps05WzgAUI1779UjoNACuOjQ6Cy4baHMO6Jz3XtXwKTtDOBSgky7fs1Ad3FKwtObiCHq
VwT1DNdFg/I1J4vjddYo41q8tvMqGMvoR+FrjjyWaIaJMh1khG/fsNtt6gnEQpa3iM01UHr6qqxN
+0UEkfGV4sp6VJYFl2+MhoIeOpiSH/nQ2cRrML0S7MtTcYot3mzbYWkxmiF5BdUbQ3yMnR8xTlWT
aQ5lY1hGOuNVZHJxT+fStXfK1imGyD9uv/keW/wyrb0vfq0a/w4JHc8bb3+cbbMq4PBs3rRbH6Uo
0bBt732Z2d2vR0RZJ2DDtAccqCzxhLdkUyeqVStvwVuiWplOfGfyT3U9gWBdLi/sw25jlkK/lRZU
IxqfXi4OkRG71tHUC3HK4qCgmT6LVG68n6tVb0wXTTcvhm9j1J7LKuOJrPTR0ENSJwk3SCTXbqJ1
14aNrosHesj2U9/ojErNWC9vrAzYLXIt/g5heeLkdpKA59oDJqmjIYZt0Ewx21+Q2Cvb4aOQxpb1
6JdDgyUUteaxsMzklQwVc2s0lf2SOjWpW7w0ebOKkmK+dZQ2dmGXNeMN1oDxOpnsQUDLNZLnHPPu
YUQO8Anzko1JeXkOC1VFR79PFX0cgX1wPY8GBYxRVPOWdGyeJY9Ao1OsJiQNEVuvafWTylo4GvnG
c0Gd04tWEqvMCYD8A2MJn4wHbKO3Qr4IcDn7avR5eh3CYW6aSIzwMBipXblOpT24IuOC/URGxloO
v8lHMzZrGb0ie7wmd7vedtgv9rFirguT2QknrWpu404kB91vygvFlDpMmO6vAUfpJ8OCtNrXugui
x4ke4s7bVHafvdRumZ0mjhZGkeNdF7O3y2Do0vSNxp2epNYX3+e1YwK306upW2kZIc+6Ns7AiU0z
NFxyxcmEKkI02LQNuarmpyAZrpOYoKHUCLbw0awtWruKiZMlV0IDOpcVKiAgmtPKM78Jaevm62lY
dBKtHQHUtL80Xmud4iK5bkbanYz8x/Uw+XbIB4f8qzp5dCMQGdBEzQvUdKHeZ04ou1LtsoCQ92w2
IP/NursOJDrkJBB3rZheA2m+yB5Cc6oVJFW7drkyZwalmu5/Bm5G5vFgyTycRjTxUS/N58Kyj2QJ
GavBTK6EC8uLhvzDMEQXFXlanztpzhsBKe4o8oIF2F5qpMKcrtzEsk7d3Na3RpK3R21gcjTP7iUw
u8mXK7tIvTZgXlebcfsdjLrcQwRGWFBGQ1SvpthKj0Zlw34lHNC77J2cH1TlKIlWw2TOj85sW9tR
5YynugEpQGcY9TWFkk1mD/6Rdebp+WMjp/ixN3V1P5HlV9K2RrqxIvd6OuFTsDYLgGVrZ8hf0iJp
SCV3GYfgIuOgVNHg9PQ731HqzlPTtLHmvt8s3x8HHrRk0p+AnL1pCa9EgsPI6WBr2FJXZgbbvJmo
RRbof5mVLnR7FAwsRaVa0W3ki+DFgbeXKVufnucPh/ZUboNZt3c9+eYyhLleXENC/eTlM+N3RRvK
hk2QhnEOg3TduZmdbmFgFwz8sfqUKZFaej8C3vP6+KlLY3Vh9eO6SyJ1TBnVdyuTueyzlY502p3S
bJNwYJ08lEEjjlZN3U73HJHxPBQ8mEDmOrYIuXabT423KaaGxjGaIr3ohi+9Xfo/OpwsDNJKg4F+
4XhPoFoDYs0cMveQbozw0nvqMQRTeznPwdWo1e5tw+g1BDIqQ62rPWY9KtgHowGdXxp9812avr+R
Kp2OdWedPPjHpyBqGJfbgXFpOyghGAV6O7IIgts8qoFaRlZksflPhU2bojEeNCLWQ4NE1CM3Nbgf
nX5e8xGGcotcxv46znp763UaXYO6bNd+RXPZd3kE3LSU5BnGzk55NONcv2Pm7Sf2Yza11Q1GebDs
kZEeIrQJJ65gsraABNZDZOwGx+HBDsqTS/sgjIrAvInr3Nk7tWddBjEZ5w3E1vvIqY114atql+uz
3OZz67/0HafEQkMUZqsSC3Z01TBQZq6zE0Np5itQVcyW8BAQVTdaV73uV9f6zNQJ82DlrmQLz2Qz
ZZAAVkk65Ls8K70vTubSxKnq+GLUHL+ihW/nhwnG9veO7fhlZ6n+trM1BkSWRF9ONlnJN90OVANT
Z3Cu2LHLXVZ4HhsAozrmBpzxbujAB6dFfiNdp7v223HcW3UrgjAJ/H0xzs2B7C9tBWnFv6jqMTql
fenv7HgoXpfkdgbzMqifyG2pt66bZj8Cp2BkIj1ZHXAZ0UtCjfTJa+VzwZ/eNHVl54QxzIzE2mge
XnRJrh6LQIsITzKd5uOqdyHsZ5ro6dxfMNNNQoJxN9zxZJMV5lelBUg0aNZD1g2sdlNC+zt5QV+9
ethfkelg0vaB793UEEd3kzNFa9vPuhsUvO0r2dGs2TUKXbQOAUHSXTjAF82cR1Dm4JK/MqclLAGE
7ih+CG2qGTq2ueDF7kq2SZ32o3YFcFxHmleJcvpHAgaGV7tJ/C9xH5DVV5Yo09YjIgaHz94EeLoI
6Yjgp3Ht6QimMIg3hTs8TZ2RXJGugVTGxy+wSmuoQMx9jZAqKr6azMnDP1XT1TDr6OBU+Wjxq7px
b5epfrJVkq+JA+WbUZnTVIR532O0ZHGCxorQZNwbkeqORlPIft3hzGc5mxg9QcYHrT86Zn9wgpHP
iEF3iOcyD1h92ll7SPJAhxtMK17yUdhZ+mLenhOQveyN2GGIHHlawVUgafcZ+iqPMh0l/SQ8aSJ9
M5txj4c5+kQwh/WimVL7Ybq9uoz8KX5wyMREM8mfHe0xeDRKOMhm7zTPkbQTysn/Zu/MduNGsjD9
RCxwCW7AYIDJPVMpyZK1+oaQJYv7ElyCZDz9fJSrqsvl7jb6vu4s25nKJBkR5/znXzCeJ5runsIY
qVrkmQiM5a3nPMQxtpuzZnuF3c9DVT6YbmVCMjBufYWTfEaEwBr61U5og5FN1WP+mJslsXJLfraf
MIWo2pj8w0Ud6Yh6HU7p17ywk2qN/MzDMaWvOSqXsS/ps4M3fiMiPdzTy4u1bO1wl8OEX+eld7K7
EtYnrkMYVw5YmcL1wmHE2PgRj7NJmszF7JZM6awX3fDGST0Ee8TZ+aosiS0VfTp9lh5UI3sI4sus
Uu9Ggxev1LAGPaXsUwqwu+1As05pi1g0NIEHyF2ZWc/tsG+Sxea/t8IVPT6nDoUQ9uG12HZEypKd
2Hdns5+yc25N+xxaBT6oybRGHupt+nG6Hj2TRBkxeQe3ZdpuliqgNWmYe5F+gf1f9GmyOnPVFxnm
yH33rW8NshUWBZjlpfWqlOGXdjbKXYvrwEXfgB3o2DwSEXiD991L6gkScpKZOgWDz7I7lYZ8Hkt9
PeTRqa+9+6aNLtlyAYyKtCfuRr9nMn4g++zWt6t9QzW9rjI4nWY67nUOSOn3EG5dwgR1S7ZqaFju
fb0QOYmT/UrCJYUV6WibILGPBUyBTWibWL02F1Pi470be6+lglNil6DaK9egI4jHYXjUjn6dmBd6
TBN30i/ScT2Hc/xoYrjEfLINcGRvG7Wa8SEmmdXZW3qrJD7FakKl0ydnF/puoIY7GUgyF7v0s0+u
0cEfw3zdSjU8GXYbbCcGogdFD3MehtYgnjRblvlsnlwn9Z9Ibqj2aSk9yFjJ2B5TZPXXw5gt7YQf
JtO+Hi1K6LTF+1xbnj73yjXaXVJOty6y0zfTI639RFg7gA4e1B3JMbayR+eiD8rFaESSWfSpsNvl
/WyZZy8zoPMIcGFF/TFGGBHu/DFvSFwAq4EqYGYwRKA9QN7MqYcOvoM37FU/9PAyO6POJK66gKZe
N9JyfuQfDHb0HMQ5wRZkHfB0IyNbMj0CGhG8ppZ4z6CmLYp57HFdZXsBZ1pmGnM9RM8fTnWRIekx
FteaLNXTleSMewhkNF8aUOLWdspItZ+lZ15lhpuqLcY5+gbLWrYlnJKdNaxeuhP4xepbpu3xOvNm
62xahGVYcZufEqIhnuPSAOSOIa3fWp3b48rQ0olghG9+hbznuZd9opaWN+yxlE/cpnvEJ5LSoTCw
Em0sgiOo7XlrCDrGNqlp0DfuHBMsYpH5YI5e/8UrSnuTtpR/K5E0n9xWr3NLVQS+opRd0oKOdo4s
J+0c7PETF1Cgo8mHpQVGsExqPn6faoSxnWuvPUYeyS30CWqP+UT59PFf4Hrat6ZH21/7SHqwFtIH
28mJGCl7erCpJUKA8ddIcghlz/ekk0BX3ucw52JCaiKeLunl7gMohkzMGGVCKjbk4MZFmTaMKVOc
zY2Qj1gmI6kfmpQLr3S7xzrt+QJpxq1lH9E3HcDLJ0wnrKdyIAOH2hetRYQY/9i61fQpn6h3NdQB
fNYHPI2aeUZIafK9RAkW3ri0fVIlTb1250zuKdXo7Yeh8EkRzaMR33ENKgJ4yWYAqQC+dBtC/VAu
BpqRWZY8/6Y2zmEdNxi/GCk5uwRmBYG+CNu2Y5qPQTiQjIx6EkliTTZMPo7iXMjevHKhjV7UGSkF
eOkDXkVYJn08d0ZKhAtWPOR3aLRTRYt+KOk7jzYJug2fL2mid4NkGEAR2qybYliuSUHciG/xI/dq
uqp9xWUDpPzgSF5+hLvUCxTXDZW+9OdovP4Qp9V1qnee4Anohcl7h2p5wyWRJLbRHIWJCmBP1uD5
foOYr/LNp9LkJXkl2iPR0vxr3XO1LDJv5rXlEPijeKPtTOaTCzHJQMsE25TheQ8PHueYJaiC8tqC
G8aKXBp+qC/Ru7YEoFLG0+Ro3jSbjPoFKLFyNhzn6r4nbfD8kZaikqh+iRJz+jSTstBAC2EJC2dg
Njn20SlqrPolx/z3GMqJkIq5U4WJLWNBYhTNAd+wQt22UGTinAp4cVgk2NY+07e0j324XN4SGs5p
qLlMqqvtW4ypMyotPrjdkbVR6rJ5kQFp9BzlnTpB0omOCC15IIfA6F70TNqYCSLXS14XtlCm2Hy/
Dm6n1okFsbPpm9cKXdOaDJ5g36mWBDgsUvZ9H7HYJ1ZgNMzh9xSVvlX9Nq69+dIBAietC2OGlgBb
kuY9bZG/ZlvXleNF+FA7fPKezsfdVGyHexOfpG7FWDTYuMtTMDZAc27jAikgmYRYG/T0hCOOXSfP
1+bX2CQhiFGkUa+ZxbKm69aNNjXd6W4w2R9DwZUiYNi40zQE735E/u4q7JdnsCVSeQ39KjqlMWlK
1AH4Oxv+EGygZND2Bfi4fws8+mRYYdb09OFNP6mAKVRHQd4CpaLNTygrOBmbTJ6tTlVXydgPd8Tl
BW+NEtF7Wk/hSblJMaMC4GQSKbp9FDGws0jubY8qxKY088hRWXWt00Ybvwbg3hRkVszf4ed/iA6/
IjrAI/gLeP6T9Or/FS9fX8ofWQ4fL/mD5CDgJDCCxU4XHBivGaZav2uv4D+wgAgUxZXMsxbl/Z/q
K8dFfcU8FeTdwUmJYeafJAfH/M228cFilOPhv/0/khz+zcyNCpVPgZgLq9K/W8VkFgyxzhHGgU1A
ZDS4PMVDKLpfzId/Hl4wavsIMl0mJUxMfxy5aatrZ6WVgVRVWHd5Xc4bh0b7uhyVUf5iZLmMCX8c
GnhYJKFZXEgLHujsj7+Le5Eh6XaiBeUKrzn11CVWbc5JaLbPxivR+vzlhv8b1gJ8qp9+JU5XmEJA
acJ9nQH/j79yyjuAB/JPDnBGiCSIZN2f63aAkVYbZe0iERnDBwJsHXtnYvHpEKFBMs3eq0fqbeli
6ewqBbmP5IB03+DyhLxzYmubw9b8WsF/PssQ7oWM4nA/6jbFA20GxY+m6jS3VnlT5AVyK6Pt763e
q06hQoVtkK99Fc19eiXiDAcQJ2bER4pieUzjbt7KvitvbEPob7hK6YckF0ADTXxpDnOKEqGo1kNT
UEBQ4Vwy+/aCdYK298buhvKdyr2+1s6Y3dtgtivIXAUoKT0czF4sG+tqPJh1VBMtLG1UE+RNtKD9
Wwuh6qrone7Ct/r6qm2CkRYnd17MIobI7uGapREFHSRi63hFX4qqOTDs+rULyhLifzlhIKbpqk05
Ai4STbszO7t9TnMjHIGqE2BcufJnsOjuGQt7d+6YyzTZzq98MKAx4jlfm0kNAdN0yurr0PrNc0YN
/JiFuX0bxmZIIoPZhW9Z0MEitUIETSsQ1pqSA0ezXYsn5hKc5iRf86RYyKpYqF6bhQoIvRQx8efD
OFxgiTsyQ9LFGj58u7Htgmcv02BUIs3c69ShGJhSUKwpm2/BQL1tZ5ntc+nXalcTlwYf1UPTNNVe
+daWZbJPquR1brGWiyHIXsDrADq0NMly246Lk1RRcSmLUj/iF2ncOFWqz8BXi4PlZOVHD8N1Y5On
WWQyTDI+Cy91j5EwxYG0jG7rzGl+NrN4eIs7r/+aW3NWbHWsvWpr9Gl44hJ0G2LUXmVfYKU0tldI
cNRq8os30+FYBSC9iIyenMs8vg87akHJIbk3GhpZxl0T8ymCWWos9snRTL2V3/QXmdEK2D09yRCe
GWQvDD6hJRv+Fwcpyibh4N9OvidvI4I5z17SfeL8Hi14U77g0Wb1AJqoS9jq6C4t9W1CvbRzW6O/
zO1Kf+2Xkow7635tSBW6TsPK3uS6728ZtzPz6oNbKUNsGFz9BFziXNk6sbf2rLsrw9d6O4be+Bnk
aFjHVqh2M+qkaiwfie2t7UOK5bESK0Ijkvm18tKc2lgNQ73xSLHJihVwu72kc2Vqk8dl7m4pusDR
5kLSOgYjxnFHQJ0YkCiJpWmCtRmxfsi7URA3NNlDN8ZcCAzPGLt32Z1oM7yiC1AkJjfjnT/3yTaE
4hLT/SwaGSPK0Re4jFmWogRhz6i05z9NsPeDnT/ntnsEDO3MDaO3Odh1WZdKsaLt9HZxPur4VuUu
/9NpUhVfebKlBavLtho/xZ4RB86qAd5PLsLIUFAhumh0n+0mWUhLJsF2yXbEYcl+yIbRIFIEhb7/
BmeeG5X0SW+cMBePh/Zzjpc4yd9W2OXPTDvzz6Eq031rVmzDdem7B2VS7fvRDKYcOTaykXFg8OdO
ikpp1GrRYRi0RW7vOKfRRmRjEZJ+sEuDVg9wPJ03WDJYd3ZSx7Cp5PLXaImjz5AGxlfPrhCuEwnZ
MHxwnCPYHb8XaH3e5EOBoW1nVqcUfvm2x6wBnFhGYJkGCPKFFKKTa1/5NOReV2+KNq0Qt4Y90JvJ
vAHflpI7EIVfppY/yd6oPuvOjIjIhMbXbHAAL28mRzTfhCeCMx8kjXdEP9UXDcolvRk8KFPbdh7r
YwDL/RolrveCsyyfzymUtYs6v7wxxtyHUxCUfDbDa/g31+jLdztoiwcHhOlTkWee3gS6rD/HZZIy
nIYrabF55N7Auv09Av2fKvAXVeB3U4f/zHZd10Xdvrz9oMH//po/JPimvUjwMXKCefTBaP2zDLRM
pPauh16K6gFjB/9fZaBAt0+BiNYeshelo03h8TvX1fEQ4Vv2koLiupSQZvi/iPDFQuj4S9EEoWSx
BoJvg8+qKyDR/ljBMGZvzMjQxkXQRzJDSxOGwTw8tSoUVXvKzNLHnAx5ZYD0gT6TQ+TshEU5kvgV
Yg0DEbaeRROfRBgFuXNZGeSiezPs+GTpsVbAUUjrhxxWdrRfIpERkLvxqCSnBH8bDYdIan7XPYws
Qp3Jph1I1U7OliKWiCDmMfCNVRIY49pQXoCiY7GtHta5MxYpmYkER5rPdtUSMIzCiFnkZ8KzqBG3
gYhH/yZIwJ/D6zTtt2MfCrSVJVBxuXaHyqnI2W41ch6AvChfx26NX/73AvGfVfOLVWNjvUrj8p+X
zeUL2PlL9fZXjvjvL/p93fg0QrhiocU3BW0VVLA/140f/gY1zHXw5DcXf2rWxh8U8fA3nx4jYCqw
WM7R1/xr2fi/LRxVC7q5L3yoRf+Td8VPrQYmAfB4YZyb6Bi8v7MjK5M0+TLJ9cGPLVdTC4jqTA7B
fF9aE/meseuu/3J5/k2r8VO7RlcIEQqmFJ+cGeHflikzV45W7c2HacraGxN3AnTr468EGj8RJPlK
C98bZza8Qn4yderdDs6Ki+/EjDRoP9qTvMnrFh62L5qtaYxUJB3WrEJmxm2Havn+v39JCNg/7kbc
Vux12dvwnbH54SeG5jADNc1+f6gLr5ggHyR6V/jgmUq4wXmyk/Y0ETHX7Qnxg0LQMKFeJsApDl8d
GNBnhujouGpGXZg9LqdibJGnGegx36Fc5v8SXVriO1AYmlq2IdkayLwDYCIvbn7HETO/dbIAFgUi
7kMiXNApClLG3a58Igp73i/Uq3TVxNaMU6fEk2cF71IfTDlZd3R5zVXL+PCOedH0qXeG6IT5Q/NC
F0PZ39Vqfk86vpGqCvVQDNW877KpOkeWQTZMlAbWeqzt6pxEJrbN6dw8w/TnheOUhucOrGwLLzi6
DZVf9hvVNWZ95FJVJQUrJMV1BL/W2WMKwtc0/c7ekk1q3831DDI11cm1S6wgdqIh4UggaYRD+ml7
UxcKsZ3ySRjMep9hlEeijXamFAPNctxAim9P+WDLG7Du6KQHf9p7COOPknicreX06oEjQj3ITHuf
uTv2lkoI/pgNWWbwJvk619D4Yx/HrBQ/ivukj+rnwcTJBYuPyjx4Y8gaGgEFnb4Kz55lpAcpk/l9
JNz13mx5yWy23aNHuuA5mmJxJHDWuhsY8D9m/Vidp7oOz2WJM9gmzCRAhiiJnlx5qAVRyxbNtmsi
+pdK2VvoCPlt4yVENUIxW2d23b6KiB/jnBNjHWdo+w8M7klKFIN8nTqWc2D0dOvpUBzrgJs7+824
mYaM6UrnVG21NfH2oJYMICdqyDc+g/+9YUX5bUz0FESHRF7BWHfhE8XqG+p5GH2kROP5uvQAzP+/
pJNUD9h068tQKt7KSeZ9U1K6WhPfOByN5irKl8VuSPfaiE0FW4Pv4okshA9J+anIwsR7I6nUN5jF
835ObXEdC+5EROjRSlQNdTKjtxJwcOC65kD3MDzc9URwIEQX0IYKemwU3XpmJF/R+urLakzmexsD
qD2sFBJ0W5nv4DH0b2bmWXcpYOQGmQpzHoNri2idOPJhudTLI1ognPwGNpHvNCGdOLlo7oTwCEAU
Fs9/S6zKcxH70amgLxiNDhOFtC2v4+CdoSUNZmqUHnq9qLSPSed+MRndPtkkLj7ENs/myjbydG8T
6bsRAludyFfwLvwGHrPLQ7nAyVPCjSINvN9FUjTXDeSq67Af3esByfldlXbN8+B6aHAZyW+1z7gK
s4r6i0O9cZE5hvt5ChbylJGBWQfVWL/EwLrEUzmzAb4d5puPLxckLIKu7ozbaW6qfjOlmb7EXbh7
hDaS387IxuGTYYUHX8YiIr3IyrU3mumhr20f+X00pXsiviFWF7TCPLX54C8EQPmEjUN4Ju7ed2gi
HXnVe6SS249BHlq596zAWPrXtB3Ec0qcaB4flKMrQTyYNqotbkvjcInkMXJPY+wM4hbxMGWSmOZ7
i0R7iqQhwWjGnYi7ktrb8RxiztKjqoK5hSfETg3V1VDDsSLWNjwJI//Um51xU5vFreEOV6Jsyh3B
p+6NZuC0cn14M60bw7+Jrhg2Q9nDm/YQ01ofSzu/75CpbIeFQDaI+WsawOYUanjLExs1YhW/Qu9O
EJDiY15ZQ3NGmj9uC1cBHkRx/2YRlryN0w7xvox2pORZp0nn4caCM7UufDcmfCMG5dKCkWXYKLp/
pkteFpyMvJH0vhK5a4M9wxF6NVYexgSXwIzdVZnmeOmWRfEeNxreH9638J46Ma8pem/nyk+3tJnh
RZbEzSXW0iN+PSxY8sqtixTB9nbATQGxAjfStpR5NKE/HYBxZriBTrDFdcZeQ91gWVZWtsdioFlT
dZoXWHKEhyG2PjtlFDKG8ruzVYVOsbW59q9dM47e2pWhQeKW5h5imNerAznUsNitEbJrxCy7g+WA
m89A9lhowU4JPSg4ERYyc9S9OvU47GM35szjAA8w8+GYS2wCybIKXAWdl7Wy+rzbkTaUTHA70OqG
wfQlQA6xGp18uqimJRezyPNnIjZrf+1N3ryHaMmM3vcYiUFWJxVFCYcK0cHDHFXHTgz0KUf8cW1z
M7OJJCuZN3a3alhXl6Lomgs4qXpbA0UfyfroNpgBsaq6LUMpuaowCl3BxHFPjddO93p0snWbASdi
nn4Yi42jjBoSjadfgCXdI/nV+q7BSoIs+S48TNoNj+UQzZ/S3NEbFQ3ylJeNWHt2QVSpl6tVMcY5
pEIHt5kOa+Q6WtIy4pYYb7MJdtJQeIMvdN8R6fAGlVr25HsxGe/mPO5ENGNgECpjJxOygocYyNUy
OMsZ1RzT1IEQJJTaxEYcPhRBbO2LlCceGX1yDNQULWYi4rLGoAji2WjcQtQOriyp59MisCtgGIcJ
NGmvLb+JWF4Rm+mfw4m8xrUYR+gyCOxdqItJftl02jo2SQmbLU289qLQkfM8ZP4sVr6LdQTkkaK7
SGYYkevMysxvDTG4xUaQp4OzQGYqnHtkiHjaaPeDVbjPeCikkI3BB8+ij7vX0sk86LudUDRhVmXF
7jNBtuZhJACX/Oe6gtRgTFW+8xNXfa0zq173xbjUBY28IS+22BAyiQlXAMpzgQEPWm9itTOfx69M
juQ+tudQdrVYtxNMhdVYuzhaVUHUrbO0dq9nG4crDWj71W6YK8LPnPPl3jA0W0qkLHM4hxaGd+Z2
1Tm0ISIHVdO/BRAwGzy+sX7cmXnHgdOwC7/j/8iolsbutoGFyhqAun72I7OJNrG7jOqSFOQGFea1
xkvl1qibhq+bOvjC5GB9mxgH83VJkZdgdzI1XyfE0c02ISSExHpOZ+L85Ol78SVT27oj6bx7azI/
Cza2i4XKyioXF9Rp8bKjDPU+T9hXdThuSVltbSXyTYZ91xGNS3UuWsJShdnB469HNuM2A88qGyhn
m8TtONzDsjZuK4wxHlLbia/jkkqjcr3mCrR2+RShfHIMj7I0knLZlCGFv/cZNUka+pQnoZTWJ7bB
6s1pPNwbDbRAnNroI7yYjWhVtnwcKM7zPrGM4QHrG+6dJY2ggp/UzvuYmcOFqeDgJ4MaN/ESZlxT
bD1D1ynX3byUv6TePvv9VByhsmH2FTPrCcppfg/mJt1POqqRFKQhZJER/vrsRij/68Ypjrkdyl9I
iDCE/amJQOEZ0DTSzDiL2fyPkIY7GNCrZ0JVJ8leMvtpk21lGc67Gsr1pklJcgsTx39HOaQOKIXi
nWHZL4Q6Po5V7GBOzzFluGO8GZqyvlStLZ5V01SXqXbyC9MsnS822VAT0bNNpS4Ivg+gjVj5xhQw
BbDbm/clt/AQh6l7bVoJSdNTSZ1QlOGZgxvKzeTMF+RdjMh5yXurlztri8G4VXHrfTaY8iIQiU13
ZVcC7xyn49kGRaLeGGskpAMPDqyABYwPsE0Vcc5/0uiYq1WLLgGi8VIjTZWWN1Uhl3tJNvdG5BRS
IZySlTBTTGzhr2yxWGmuciI5ztkAFUghGSFLO1EPiyCNVEbXLr60DnqXU19oX51lNMZcpBQyszF1
/bR14xwXvKFxogKbCycbUCe7dm90YsMXquyHOhIW2KzT5Eff00V8zDlKNpFe/iKikIo2ZsfwdM2E
wAoUOTqBfYEjekfkOP5k7ILUUq2ZZItVRsI3jvG02U48/MmqmCihfJQfALIUV7Qx5oGuh0c7EN0j
kw2omJXlrjsXwcK6DBv4MAteGySi+TpnQ75r0z7dD4pTzQQUP0SwbvpNUnnDQ58WX/yWuh0xRvMM
fu+kmAotHPHl2oVL/vlJ68Wz1k2M2zaznSPzVJplR6X7iPynah24fXHsYQi/TCgmXsRscSbbhW2v
KjDandMH7Sc6gODMZK7ApY1myyuq7rFC0YETo+Uczamvv/RLTV0lYbFO4IaPa6GLCWYc9nQ7Cwe9
Y9tlVIuV76w4s/yb0mmHB9NChgOPpH7BrQqOjqCybSy6lg3+H6y8Hn+dRzujkZeyaK6gmOGQEYmp
fumjCtONoKcijYQghbt2NWukg5YLtGzxj72p5SvmKFyVEmPBjqp8hdGYPuC7L0+ykaAhNsqi1RQu
W1dSZnrnzv7ixWjLJ6LTgrM10t52TRKeY6tpT+nsY+4Vc+FaNq59ZeI/WAeVesA6nbZqnNN9sHTe
OJs3V2VOX+6ntCdYRep3mHKx3qaBbp5zr/ykJr/5CmeONsd0Y1T1AkHMiAeHJXjTylgKluVTT2LR
HwQEzrTgu8s9AE48WstSnehkOUjyEa8rPDpdOQ27qS0zb/H3xOZDpXSkS9OQTiaNUzIJeWNWLXem
zjgCPvZAXOqqaOmx54ucFBqIy+1IP+3A3wPQ4tsV/nyhY2gukwLV+HgMIfywgceVNA/TgEWWiOk0
nW6WNx+dduXw+JBdW6w9i45VlnQfuBilh0JwkBWBF5yHyCPQYWnLjNjgMghJRwHQw6VfABSdBvMu
R2+6xujnvQ3QZ2iWW7We5phDYJzAIIIY1MBkenYrGzGVEOrykPqQo3Co4dvJQQGKVD23OB7NAikT
38gkg4PmWbMECWEA+ojQxtFSmwhlBsirYcYjCBnPGrdVyYqJp9K9tnNvkduaZgvgoDr0FC1IjBa5
fNKOAKBw+1G+xhmdLhqN+b7CH2AV2W1xNJamFiCbbY1OCjbf0iEvtM5V0PkVHHud8k6lTZMtNVuc
Y/HrP/pmn1Hs5ZSDmVV1IhDjGN9MUy9lim9w+4qSQ0p2BLJ8fzShge8aQUte1VZ0a1pFdW5qO99I
4sTOUHNxk7HALqBsgmUQ91WdRyIor5WgwoUR1bO5G3b3RsZt/WWK22DTmjI8jz77bD0mXMLERVZr
Vg43JM8Hi3zdkhbaoyzq4YWdl+dZtss2TNBph9azAAkKU59aI295Ob6r80WKicVdsqCNo8yWU4DC
+IsV8EgIPXRvg4Q8llhRfO0jmkSwtjw/ePYcKDEBgTy+TrSgDh9lRRCCTMV5ld/CzaB7R0qz8eCP
3H2cDVYP9AZjOrn22fLp9wGvlOGKaz82XI6KMQygKnCFJdPHuxHSxzrE8WbtIZE9CtqQdeJl1l2D
1e0qHbiRjD3QTRRmddbOUJ1dXPiO5XIPEuql546QpGbX6pqiaLTYzdA6PMwj5UmDb9DZrAv7Dvkp
my372FPdBc0zng5QCxeXpw8oRvWARYENTQv6wwjDDiCjYzdpYBYg6FnEujtZT5BeeorMkoW9Z9AI
+lQXLIrZVPWXwjYABkewOieNKNF6ChbHk+TAAurh2Lc8PB/b7ORzNejY0SbWIn6km5rRu9jlUsch
0zxNrYPyjmb5vvGplgw90iqqTnExTba3RLGOcmQUj6anGmprh2fNMKPbCafPL3YxlemxEq48jU0B
eLNslQS82tsW79ZrHeDIWDCWAW1AcubIkPMhoVVlTbagglUPR5GoR+sOI8bhm7/o7Xo+OqqwnIWb
hhR/MB6br13ZUnLIThdHfOwoHhk6XiOW/KKUy1VDlO0c7SBhqaica9AXJlUoM5snqpJMwGCBoLgq
zDqkbhnc9AouJJvsCBH6oa4jZx3OCi+xgRs+B+Rt5jZQ5sePHwtzLjOOGAOd0quLQ+Qt/ijiWGkG
nZNtzDs8ulIo2TULOhXyFPsumwze5PG1aHwiGbSb6svG01TCoz/vpi5/H4SuPdjhNA4fAN0ifxE2
HcG4VAHzJCmFEdYNexo4vvGIyDgbD0MgnuG6Jxu9IOA9jSyEASiCqxwdwamP+l/lIv3dsOkD8sYb
ykEPCYPID5dRw1+8QYbaqUtogP1BpIDDa08P7rXv9fY27sfoNAu2tiSk+O5jWEx+TKI0nqbOAWrz
Fxyz6V0qR546R80X1djIp2EQ4lql9nTPlqB3/x2g/ykOYcHnITphm4J7ChZOf/uwDBNzXxlOdzDS
RSXYQXKeG3ox08qSa7wXudbpUohaiqYo7ztKK6CMRahWv2QN0OrHzf7vH+rDMuEvI0yuoOP6+Kos
H8rHt+Zv9X488CSHcJsOZekg1iGOLdp0wSDPOHWpfQu7YUP3rrczHvoUOgMgW9Zwd/1k6eQIs7zF
z0ueSItnN4jc+q1JC2aHXtxs2WUpDI22livZu78Mnvy5U7GwPVvuPpp7tDyLDP4v9x5dS17HsdEf
YsOWp4iUlAW5p3qUmWxvUCIyiXBksFHsiV+6mVOkGvEt3wy9+/vs5Z9R5a9GlRgMMED8z6PKq2/q
5e3lh0Hl95f8MeC3sKxiYsaIMoB/yLD+z0El5Mo/R5MCGsAywvMXWyUL0ieztz8m+gvnEw8Jhm+C
6eXif/J//88PhiLd337+q5USNIEf+18TSunya8gugpto/+SAlvRiUlXboPGESsKpKdzj7FhGCzJQ
gNAlpZSbqalPcA+ktaotqbYmLLXtSNDJfrA7eaZBH+wnN9E5zPoCM3o5KUes7UZOWBa1Yn5wlFBP
fV62G9hcFDPNbE/rUAXQmZo+Aw9HoafQ2s7W7UAD+1ypSF1Dko8mzt8Kbk+uW18zwG/HXVoKDNjB
/NYD4wEE783c772Qj7jC1gFTDSAHKPXGzCkq5tknYHUKxvgQCksPOA9k5lfmDwALxZznb9I3JLJw
V5WrcSyn64jyiTEEULy5Ab1G7Z5N+HQe67kViCUQVDT7brb5V6dDUbgUOTOyRVfOx9iocPJBQDMZ
p4APWF+ICG4bgz92mhs7aOqbUGTxrc5ycmEL5OuZX/SbMaF9X0fM+/bZ2PoHjJQruc5EDTSeThxp
bTDkeISKdkL3iSPBfd80aJybzcjkr5eHyHLTYV9Gduz4+8Ct8njnt6mpzc2UQdNCeI4a4srx0axZ
635WxlF8NxlsPhwHM2hHVZXTFxVGMT12TQHTF8pXBXkdjgqkDDeNEE3kUsHaIBgmbcMVgGpb7hrM
xOPV4JBniazOwAnrOrJmY6ciesYRb+beWWY6g/L7c8cUOtlAZ/P8+gB8ZUVQ/5Mi2kjRqeXBodRB
COrSkEwZ2hLEe9RSp74fsNW8AlvLeqddtV2nRl0Cj9pjZz3FUWLb+nlKiT9r3+gC+hJVU651EX3H
if7Z8H6x4eHX9d+5GfjI/LDd/f6C37e70PwNXzyUNYGgYvlzqwu931DlcpgxvYJBgKffv3Y+5zeX
PQmSJiwoHr2FLPH7zifM3wDoFoMbDyOtxQnwf9n52HL/tvOx47k8mhAYCEGlpPobA3wu+14xvQlO
piynCyPrWFK5nd9OpIK+lZXSuL4xLsSez43jVT5H+ZXjlO1zllHR0wh2xicr9qH6sp+pT8Lpo4dc
25G4kOk0vSY90RTHZeofraMKweVakmKwG6wo3EZTwVZL23pDEBY9TovqGH8ZQhfflJrds5JD8ID1
RtaudNEyGuqpBmbMWadyjWb8mIRYqeL5XWyzxJGkTVShi3indLw38LHiW2X6x7go9FVGfU+elxS3
eWSgvwe/it57RzNCNdRljgc2Ot0qzZ4ZEMgXEcXqcYplubYRIL4bWGOgIEEnLlft5EOKx9hlM81O
9ylz4+lS+7jEMeUU87tfGoz9qgxzbV8hhlbIlo4e1TZu3EB2KQi+I852QkgrqluNIJaQjATNbUwo
LIaBW1dFybNFONW0ZhSG9Of/s3cey3Ur59q+lzOHC42MwZmsxMVMURQ3pQmKEiXk1I3QwNX/T4uy
vbnknyrPT5XLtra4CaDjF94Q0iWilo2RyyKy7Hb04T+3Y8uZOFfpGXZr0QXqeRDvWvzgd2uNsmGd
pWt+tjZZhebTQiOL28oZuW6wFMGLxWvjl0XYJNy0U0LsOKppvAxiOWydpOwvxqQsCJZhb26ctg22
FVjVS7lONMyKhSqBHXfRjbe0cX5IpnC8B1fRH9Mla4+lZauvmZVEAyk37pKk00H3kRMeOncYWcCa
NYMTVygfWF1T3Qq0qKlAUAW5zQMIlqDJwukJ608kHEZviC5F1lJjy9ZFa7hYYXwBSC4Zdmk9F/sK
47ZbdPvlNtcUujYI+iOyPmuooHauhouhoLCwCTKd3kVD9wMAyTIe7WHtc/isbvuD9lblbdwZgtuG
StzwreGUt44JVNDHBEfu88lt+v0aL4V7jifO9NwhUHaHi/S0a7vGP8SWi29uQeh8gDcBGkTnSAWu
g0qLR0RDEj19WC2KZRW2FtYwnAHmyO+p5GV3+INQ1nxhdh1EYLJa5oyt9prMggW9yqWFXR+EdXKT
KvwjatHCEPSGCZXnOcCTQjif0ohnJKrfFdX60VM63c+Uusi6BRzOY9II6AxtUm8adugWIafwYhk8
SjR1iTBHQbV5oYTXgWnehNCikFnA1EPZnUHliuRQIG6zsUJyqVzH2JPR7oCwLy6dIRaoagpwxK13
b3vxsaJgeLV2XkLmL+09ZoHLEfgK4z5qjTXC5KFg0ESSFehRo7uxQD0GO6VGtAEkvVy6/wNKUbLe
Q6QJz10dz1eju2I4gCEORI9xHAA9r/1loPrxwsEu4X6hPNnAbw78M/QxhnsrVh/WjI1ZtsWPNXI/
0YzZBFVUvkRUFXZFQCGxzQv1YNEAuKlmHW5VQz6Ta198pIXDqRUhYL6JlRdTlSv0FrXzbIOwULSd
HCSUp7G8Q7X+MabARnGAjW217rEY0vsA44Z9jdLTNumR9C9ye4KGoKroKNcArwVqUYx2Oz/gjJ7t
7GmJz8PWW/dOFWCO4RTOfdCNcFmrtdwvnvTPQ9+r4frGCH6nnhqv/bi09z3IrasF4e2/3MrznsKa
2CorKfZpTOsvwnEIH8LQHy+7GegXh5TiTAlb00bP/cT6Zq9IwrDz0/XWLtm9eZMWd+vE2QikJTq2
GDofR5zSryBux3qfqlQjWLaO26Gx6+2sfIiKednf/Cz1hLKOLkvpwAGMF9q6+XTQCWJcfozyKjYq
NkrVDMqHucrKPe2KhsJZWjHaDk0OSQgbx9/yfOESiSj590zCoLdZYjVXOe2/20JF6HDbPsaITbme
Qfe293bUGeGpcDxIFdVPPYimu2xIUW5Kmf6nAvkXh9bVjV/q5lZMY75bqtR+wC6o+qEWb/gcitQz
kmTNBxBS6X4RvX2oOm+8nsAwnBd0TSgElRZuSRE1I5Q48/Fj7rlY31AEeXYVS5oEeAZF1+OkKjp1
RMFE3Crll1sQFiO7al4+pqIOok1toYyBctpwZcfJdKV8lJrtzC+2U6FKGMERR2ZFhT1WxTFPrBz7
nRH0WDkh0pBy5u/cAlDJBh7wemFXXXaoy6JGkblKPmUYC2T0N331BaxSXsJ7mPIrZyrVUYHyV9Dt
9dd6GMstXaL1wZ1cwBRJEcoNnn5Dugl79Ql3EedqxUOJFL8l5QBDU7De+uzeD0bxEQycc1hbiDML
ASRkE/gTf3V9p+7cNdB3mWrhanEw9UdudP2MxEX14GbAMTZjIPR+BgmxtR1v3RasygtfDh+GcVHF
bSpdMQxPdh/EEECWAIyX/bRYKV62GPXI/C/PdxJM3ZFaGLmJSjgut2ubYUnQYEqyH4WBabgTZuSd
rdcXZHCCfVIuzVbKnCM4o5oLd1ca5Ee2jGezXT/MWvdneTmnexZpcs5UVrsRc+APLknSDtzKxUi1
fweE4JdQ7v/Fx3+Kj8Ebv1cPgPepyrcB8s9/45/lACf+BwEwpYAodG2KUVSjXmmfInT+4Xk2gH3H
Z9dSPvtXiByKf4B45cdDL0JUDkHJf4XIPn/lo6wbEc2GHmRN778JkV3xJkI2ryMcCOiUnRCVhLD2
WwFvAv862t537AW64gfsscS1d/PsWP2wGwaUaR6LCkOeg1pcADQKbKz/TSdV11yJFoi8c+gstAQ2
ZQ93Gv2BOMGh2QCGMv1J2riGAcLyKMRiB5EAJbLoy049fQC3GpfV3eFjrxzCpbBjP8Mbt2YgoWMi
9xV0vIEu9RLnDiZao41Kk0tvpecigjwXQ5umRYW7V8MJ1OVbolmKn38AWZ+oX3oBiGO0oTERRqgZ
0tzp6LQqEO2APMH3Ts1TTMctDTOK/NJzIUMSNsc8UgukhH6YDbc8eCFKpnLrELzxPY2Y0z9Bok+K
m7wSJWESLuDNfkD+RG3oTYkwLBxdt0qmLwL0EzggjILKixWAqqJxgDkSiTUUjUwUG7xgIuoqBaag
hHM2ai7PraaD2G/CEVMGPFAnZWf7NUmpmtBGZir2w7BmcEBlkFh6H6xlH9ysayn4MdgdcFtRBkTi
Mf4Db/YtmB30PYMM1wSOsy+oUJ2ivJOs1LlVVs13Gzeg4KPf5FZ7T77Urnd/25l3rzXgv9fC3uaD
5kEmIUT2FutABu83NVNYVTEnfvJCQcOBFdJViVHVdGx2uHbDwrvFLcUnylsCv7KGbUf2N93DrWuK
H++/CZlx9+8a9c834dqlLeNHgHpIg99Oo3DTxY51EbxMKpIYXnZLMQwbCTI3dC9gYK5+8IdBPlnM
lADhOeDWid74z6zcnGp/Ly67zsxU6rlEjAA+hGnRFV9FVC3cjE3zHeP58GVVI0ldY31dpgLxSzwr
iXXf//ATNM7P14jMViI3h5ZB3eDtawSgOGu1htV3lABRoglQSLyjyZFVVzmCmAcb9s9DL5vxgDpk
sgenpD9ngOO6Ywbk7eEPL2N2y7+n4fVlqFsYJwrHEA1OCu5rjfpfS8XwO1l+gA6UUPe4KCIeFSz5
pSvq8WZErOSi85r6HLUvcT2gRzZsqOrpO1ASERurmaer3BrdH9wAnE5Rn5cf//CWZkjeviWUck59
4bD3keA+GbIJz9E67r3x+zKjz/TJdRwfKybHI1KFoHHjBBMJz6zWIEJk3W9/ZKuNGOuKPO985oat
evTjKr2yERj65EgPxdtRlMlBFrJiuNMCWEBfW+UfJvq3TQ2/jdo1Sbygzu2fLjdLpFYIssH9Vo29
bJddv3QW6eAUrcl/aT5udhMXpSdiBAycyDgUvF1TTo4GaJf7zosWqcq97+iRIDF2noA4KC7Stjdb
GoOXEdew96fm949k5QTmP9TpueRPZsZFYlHGRam+aTseoxXZsyqa7hPHytnN7z/qRFvAfGRMp42m
AlUPgoVTS/eibUU5T079oipcYsNjDoTvU+VQ+yE/DtMk7W51vCZ2fdXmsglsKi4wkh4LVEY6BBUr
LuAEXSk0Ez+QPYfU73/KHl6VwMyi5TjOnlfL4/sv/XZ/8c4+atixB6fQExw7pxeoQPPe0XiNfmsW
2HjuRlpxWfyYKCH7T21bB627S/CPHZI/DdbvEwMjLECNgE3jOeL0mkyMgUQnfevr6lvCWbdxSAld
bcOoyyQKe27l4GvHsVyGzwuG2RqNAill3G1rC9LAQ16vM8KBWaTX4WsKajs+uE0AgMevF48u5h9G
KTq9DnjBEKwP2yRG3Fqczi0MyE7Wo2y/ZlHucPQXgPPXOxVogDmbdYEpPp3FqlPBjQUFh92kgAIS
fDTBsnA5x/jdLd9YgHXxA9MiRoZwyyvXGYlIj/LB64XvJR23ma8RYntSaRxDkpzqsGSlTtWA/9+m
kUNA2EfFZWJGsBoxIYGlsowHOouuog9J1g3687qYkHVDtTNhLPDMMLwnSDxBXxwcr/fZ330250Zk
wyvq78E8ilxsqJ6q9Y7tH/tPTU4e/Aieo+Adcb6LG5TDmlE8lapFgn4PV6haH9fBDaeHSWJUew/s
t+Jns6bgBNlkWdAyZ06mZx5NPSwvUTx2O4uNjuIBWNJNaxfg9Q8LAL7G36i5cPhJbp+EH8mDUNXB
GcyCjFxuDmuCp4V6BFe+knRwln2Rop/zYOVzzI+jcGGeZqWo7N24MYL9n5FA8qdj4qFDd10h0Lqc
zXivNpdZby3jxahHzVrCRNKcfEAckZeOJoTlkFZOBhOj9VFCeeiIRdigHLzymq4sj78+AMuijE9F
bCoOip0NHZcB9REIWi6piJlDrKpDVPf36C8H/E9Og6wutqorC/nP3wHyzpKAIxI/z7YsuRaNWDdb
TaF3dPOFR1Nl4XBc3JZvSl9H1QPnxsj5UYeG+nGeB0S4m0qOQMFAmZknuvi3Fj9o8QcMS7eEPZ/H
QW+WSxsPRElu2TYsmgKN1/oeaBhdn0NhbMfRT0U+lz01NXHMqklBbzFnrsa87IcbhVgsHoZ0KCP3
wkKke/lGxX5iDFs9FTzf52AUyceogiBa7NZwxJEXlG0z4QCGFKXJFQqhXf5uCchO+Igi7gJ93bvJ
1KT71pJm3kNn4hTYyxUSQQ0BAZ9BgFhu7/EndA56d0IObvL4Le2Cw92wGwsAe7Qa0a3m7pJOO/BK
C1/PP5xHanDFzgM77AXbIAzZgkvUl6wUygoBuhpB5PJ6RZ0j1grFhypSfqOgfvtP+ejxh23sQuuh
JufFZoz7qWYER+rmDOcahWbNIfAcehTlNNSmQ0oZjyVqUrnpoYsa/rsngmMDhwUCaTekKitRLUKk
7PNFLqs5PIC6l88FPkFmS3vIybRAzzzBTPiKPKXBy1m40wP2zHBS0NQLO7UcJ22ror6eKk/wC3up
JO9HT3g0q9rNc7QduzJehX/UUWXYQ4X9EGfQWaYdHjShOZmyKgNvEthIcqAFj7voUC6pZ+9Y29Dl
0gmRsDt/WTTLP1LoInn7uEYYoyFQmNsANXJ/KuUmQxSit7eIDrv5bSuy3HA2DbuM0wpmqC0ODnuZ
jmeubMMA17LHhWGrK6Ws+RKGZ8g7omTL3PRUqVr/uVGi4WOapFjS9mOM0IPX3LSqjXWECknuzdWe
g5jjZj+4aYHYbNpBgDIkwSACSpU4wZAB3ixG0zKKSo7Z4Ns6+5aXmcN24ZtjetQrCg0y01mWXhn9
VxHeDCBgzeLJC3OkhEDP+u5Ay8msS6MkzRpK3Lwv08t2bVf+rnemUYqb1Xc5KlXfMEq72lATm422
QUb1N2oOMHc+FE0/MksNqFbuAgitM78r7m1zCgLBiVm5dt4lw3Swh27mJ0mZe/5ukPRyL6PSnoyg
DihDFlLmjSnHE3DPgPEbMovTAQJpyF5AOFqxoKZeukt7zuz3i3+JhiwrParUyotn2hp5tCfwYqRQ
j7wJd/3SUbTFaNunJAwNvzKXLD3fnuWoQTe2FpeyXDgflgh741ttL4hkbjiifO/Y9RRrs33UypY+
We2YEMtGCmP5VhNrl9e/8l5OfTM4M624Nj4rJadqvE+zYnat87HAfI8WN7D+HXj1Jtl7CLrh4AhD
F8Bky+W/7KcFIKZxHp8tRqmts5CNXcAZZfFEOXwfQPOvy7rOZ/N3i9e6LNw1h28U4PltmeNeWRGX
lrBYle7eDWUs5w2RKOBPvC/TnJ3rRYjdA4LLBNhlB636YqfiUg54ia9iCb6AhKjkR7vW+POC58Dk
Xko8GS+CpgOCCVlj7L51NXfMJch+yzNelaG7bZsu778g7IMJaxk2bfWC2/wq72uEg+TzjMEA7RsU
kJFRsaoB2RHXnztsoIH1+Sjuw4RS42Ge/Wi6kX2W6NZYZtTiyq24Vvc0vSax7ZkjySGvo34tuIUn
6Wmwu1BRCelXiRvBxguXygE4IK1l+Bw7YvQ+BsgDeukWIm6pYUtWzpKA4Yj5/oR1CqfvfMi4yapt
SLNqXXdxXq22NGV6dFfQdEnoeAzl9WzbojtM2O4imEWAtj5Azs1aLr5gCC8UAi9ggL3BEduF5nVL
ky0dVLyzoFbSjMRHRdKAq9IjTPdh17f2vF4mcWPbZ2IWGQ6wHVD2YTMg/Z5TtHd9665Dmcz7NKoe
kMeZ3YVL1+9jfCX0A4V9d7i21ADUDvV5tT4ODat648sgkJ9gReDZjLZVEMoOZ2A/XfXGnsIOSwAN
PvQsyYdCk3F7Ud1uQHsZk/NQrqqPvoq6iJqXzOnaSe/KAKlVFLl8dxy3IzqBIa0GFFPtMzD5vW/U
Qm2/Cs4SErfgJhahVZZnU9AR1mbfsZF3aWkBm4eq3e6EPyxrAAttcK30Rjp8THH3K/q2sZEIxP2c
1m2r6OHSsTOWmi71+E/z4nedt0NlWiYT8ZSNI9txmUKfaCyxZzaM1IuJNfEURlHoDFTrZK6VmIOE
zd1HJnyUXOBsh8wLzAlXgwzgKMktuLf04+AtpJX5MEhal2ufWoSkftZPXD2oWhXcMkPjwx49W8KQ
33kY/dZEf4EqTeYQFgK+2hbEXl3FZ2Nf58GT36iGVxGdFSIDCZSO2lY39j7HpK9ggzxEOIh3zhkE
AKJgUOsmio6XueMsK3AJ4dBLLBy/ucNr5dv7STTB6gItgj4ojxAtXc6Ueqyhom+ISyLqm74PK4oD
sa4c7ugZLQNCk3kBKtgd8CE1NyfWKZo3BUeKJDeK+mvYrh+RMMArZNsmMT6sJGZtwl7CLUXy/gqY
PCdK6eEJUG2dAtHbdtcknRLyOZaxiVfpw3DaOMMog6/z3DftIXBQ3b5K22LiWgRCZGKppgtNyJLF
gxmjoW2CQfwYLbXAm50r2kpwNkRDnQqUVQJ/CAtt6TP8nOHoSu8hKlJeDFRtbqlfN5hH33ZCug8P
lWEbxIjNgu/EkYiB7FJYwi2c85qko6L7RuAaca/wBqOy8Ns4/nMk1p4ttBk7FxoivdqM39giR1V7
u1I0Cy7XBERmKeY2ccC9X+vEf6qk4GVep5ELU4hH0r9xeECjWPPFLohh5ghV0lCgTpaW05zdrXNh
J/HnqQz9ojxmXUCL/dwjHJ0eVmArfBUeyabYCSx0yrPzjk4vv8se0MKjpuIsJpGPgp7FUlPUEhrd
AluGw84rHaKUFJoi1+XUdlL6R7tL1RTdrUPmtPlVAAaA91lWz+wD1wXwj2NuSZD5UCnPbJEe5B0F
Vtx1+AE0Q0ygJipS47xHCK5BK3zEkOisd0JkKnbp6+2aTRPePTAwZgLVLQAOosDAlSbeHAKzHpOq
KIisbUag+AGDtOEP/HPz00Qlcr2bKxjs0Q6nSYrv2ywLTWiITBREvp1wO/O2r9ujHHzmpRpnGKtn
UnHw1VdQXKf0ywTeDnFCX4RlyK6GssQyzRdiguLgSc+s3aqBRI6djUgngA0VGJERUQeAcgS14N2Z
2xGqLc9qVskn2N2E+iDoDBNax1NLygcuIpfPkxxzt96ocsRoZUNu6blX3gxrGXMe32Gd1bZjksCi
A2PxYAttJoSeN+EliSfzPCyQli7d2SF/Any06OlMQ6Qvn6dMaAYleY18VGpPxBoKVWa+FoBASWDw
KyNGvTkmMNBpiigB5gY9QhcHVCxoVCyWZelv7gRh7g4AHPrPboYovMHoylRZxyjo3PEBrps7Wltr
Fow/KmYm6Q6DyERhUguT5IfocPAP065lfSTwFpi1oaaBgE1zZK0oVsvJR72MEm+LUhxBCGfAKnpy
3vM+7BrM2ckfWE6Bz+MpJWPkwK/tOJODYxf6Gsk4DJ1Y+kcRCVTrljIijnrdehgLmdCqsuq4qTcL
nAcgGMM0KbMwgJHzmlbiLmZJUkudm1vb07rpGZDVZNx+jHhCgCpgaLY42XLaXQcQSwheqVimZ0nW
6PFDoMNVnUejFtUxUg45BReb5REfuHqYODrxg275NbE3SM6qom9MJAqhglMcxY6fWSP2kiW7FGly
wSFFwD8GW0XlysGlKJ1MFviaWKAmbV66XfWMIDG7bIGVM0QrGa83RQULnSQJzUjIT03DlOZiNK8+
NpqbcK+zMRmGPfRmr7wOO4oj/OC6sKIQjTEH1sA0WhlACJXn2ARYuVrpRGVuUz67rTYZ+vJ6csRa
mUC3RoqDb3m/avQfakaIwoJep4EIV+C0wBqhGT7jmTN/1clg8swps6oMi2dvwR9vo0bJ9/7hkadV
NcpUaCn5ninnIRp/WmdF2aKJ7AF5SD+YTbfwdWlUkWUqu+9/3e+PMmq4YJZNg5JW6Ell1UFqYZ2o
TnzNvcScT23guRNBIYc1Z9f7z/pZDfx3gd0LBaXjULi+AyYReY3TMqWyBcZ9CJB+1W49ksiMGdV1
tBcGGG/o0MtacBeuQcuhMcK8QVx0nKo+qrbdgArJDVUI00mLSXnN2fN6Mv/qteFyYVKEJvQRfr5C
PGjmT++//m9DZZStCGwFsHMBxtz8/d9YA1om9YC6mf885ELzHlxQJi3kciWFev9Rv6054JluTOuR
ziMMi9N6N2FU7jQEUM9xFrnjckyWqJgfxRqaLRIk6fzHJXfasoMDg0YXHQ2eicPqqWCw7JUbpdTv
nzsvM2fUoNlsd2POyX6fOrG5s5KYeJ9gYuHP3ysEs+Qtp13tn7//7afDTJfe900vg7Y8iP3TFTk3
g57mOHW/UJMgdVwgpi3fIhRlOQHff9LpKDs+cD8a/6iSGdDqafG6JDCMXFGIL2PThuX10FUmNc8L
MrXjlDkmanz/gWix/a3BRNME8g5lZ0AFSHARNJ2sIMQBVg6TRX6RDX1JxCjdxBxzHIoL85rIvtKo
eeZgIeNtWPoZN+P7L/BTIO3vO5BQy3V+EndCSEO+67xdw2SJWSU62GV9Zi9ps6d3CniMqgdcp7PX
sGWSmQmNEV8z5/evorjlD6bkVQcDOqLn8+vg1MgcM0aU/hd2MRJXLtnCCo+PK0GVcxvhKIFtEKrD
uSgHTutw9s1lOS1jO7WoZdps/A1tNlN/HTD4Wr6JWeoZ38OSEt0ermDuDOc5UIZoxUvDMrGVQqiV
w8KSTkgWg8Cquc5R6iS2wVTOXPFdJzteK3wt0CtCe07NsnRM0ISF+M+IzxEmWE4KfPuMnSICxpTH
0gK9jAtn0pMpsjQlZdn3h/+3BRd6DkQVFCch5/6+tEcyi8yy1+Vzm/Xgn49pN5gUKAb0ydH7q2T9
/iPN+f1mwjlq6SnTo4kMFtwgXP5+aNEoQ1MOWNznOEUw3d2POco1134UOqV1Y4PZ5MFeFY8kUVrA
laYIW9Xmbd5/jdMvd12U2Dk5jVI4e+7UfhcVnGZmLrPPZUv58yKv5VB/ciAfyCtHDX9w3T09QVyC
MyQHIy9Asi/yfrqc/u2gDoSd5lmn1Jep74r10QfExrIois5EVu9/l3OypfntEZrnAOlDOm94p550
+9NZ21WFzNmnRg12tEsoXw7pIaWMSqabY1HHXgBgUfM/IQUb1qVGYfGRZM3HM7WjrEsJhpTH4EW6
2a2IQwWQSiLsHIbvUxZyCHzDSjczZS1tmTJANAQtm3CKAlMmRu+Xn54sTFsa7Bt97iKobaZThJan
Oa9JCErdn1sW52iF7wymk3/wVj4Zb8YALUbXZp96IYCD0zHw/XQAXz7qT2NdmJs5aWlVoOqLbMb6
+P54uyfr2cwprEO4e3HAtYhy0tv1DBWVmqrwkofIa38+a/QpnZZTb0L9kaOeI+gV6wHY1WSCjcaQ
A2u61z/JaTQVAmu2GVzfC009k1yw46RzapVQUbDKYrTWK8VWBfmbd3U5ny3uSMK0L3E7JmkEJExa
8qvxR7fINJHw8HTYO2tkr/zd1NZmwlcfB58n62d3PHwtTUyCCuiwg7ttZrIQRC1gqHFaZt4HmZvC
8q8WGjuStVvQ8+DeSxKqHNiMCKCi7R/u2+jt9Bm8Cp182wEgh7AtumMnS7jnC6YIiZ5vaBKGT4Vs
fOfg0B49BmWEopOusuGQemD4EYmEZgRauzmiMlY9TimI5U0TjbibqNTdxIhe45WUDf2nhPxV3VUa
svU2iyaUvOPiQ02r7dvUeXA+Amnhl0UvJ7iFTtxeZkDur7mRMrhpdTaVOwuro79W+sjTBVy1wt90
CHl7O6qG5SOyuQPJQYX49VbF8s7jVioPXmVBvVuA1w/d0u/piVePwDa9i6py6BIUHaogXCIzLbxB
VF9ATfiXi06RfxjX3hY7t5Phg8P9/NxlrfCxpA0yShipUmdO0TQPc+iiBAQSG9ydbXkQyajbfS7H
WL1UVic/Bp5ShEVI6xZIFR5oEyzYetEv0mj+xbm1Gb0aIxe0moY5nijYZEXx14jDNVXzBKvMYZbt
w1ogbk74aWHkg0HEFqfuD96w2F+dZVBfRLh6nzIYHNtMgw3HgCaHDw+E5v1N9vawZkHQVuYwM0qu
ngND9mRBtJR/QkwSmhfmS98h+gSpLahajGYCaQef3n/Y2w39+rAQYKa55onhTiOSBMEDcvK4ecFK
qgaTpu0H1MMdFETq8nry3JH8D/b1B1qEKHO//+zfVv7PzwQbRsuGQ/w0Hxl9FWP3LOsX4Pckrm7V
lfpQg0f60/X38zf9+xr++ZVwTAEeoCHNhXyaRGqnLp0JrMyLmI2CkOtwXWxaEp4cG4UqvG+wtLnP
VWJhlVD5mDy6E2zosyn3g52uBmCGgEODWxnI+KKx+vAT9y36YNQVh8e6JnhxECTF2GYQ3gc0o5of
9ehGVw3l2Q/ILTl/xcDnh43AmQyVjDK9deuYdWyFdUD1pqQXJ+aYwpqMl5eixRiy6EeJn5hvPyOH
425X5u8PsdDvODkTBhAGMS4ud/RpSCCsUGkP24YXFIsY/AwVsDO3LSq05fRzI+LqswuhYDc6KU0P
JDkC7B8XfDXeXwK+WcxvZgbqusnqAJ8CVAzCkwsFhFZN+yALX9KRxgHlNAmXBsJ7vFN0SRB89Wp9
RPlVj2hkdjXdnrY+ttStridoXAMqL6l1u8IROLrrQuEMWsqXOqeevpWldZ2jaojMDfo6bu0+UAOt
MHdm0jYBjbFluw6atkvRqmQbdnF4T9g4tYcZS8glKHKopsh4YTXmH/O07W5rtI2GXZuo8etSZSPa
3U75AYcuLohAi/ngOsM8blyZpw8zwsXFNuttPiDTMDrQ5aAFEGK1SSOEO/Gj51vRFYo+3l+CqjbQ
97KENvL+4JqxOx1bFIVJ9wOyWbQC3l7WIyVh5j1MXvrc82/QqSweOwQ98QLoG6ios/EkeP+J/wn2
SGxAigM/G8jnKexR2E4la67O70VX4O5sufCGk3GxLilUFgcaEQMnvZ/Kl87FFD1P9XCV57H9AYEb
9/D+uwS/Ly1CTY5PJ4KdCUfz5PPljOxXlAL6TDUNBvL2NvnSyjWbdn29oPlhOyUVjrpFH33wqRUi
Thf44C9TvAerOY5RcbFQwpNtED7lQzWZ0i8l9MZSeLQHuTr2rouf+Jil5xDfUm+DhaIzbxQML8SP
OruGeyWidov4kt+dWQzLoSgH6xr1+4kfwBT46icsdNEz11nh590hnbm9ty1iqFc1bV4iSrc2RI++
aoCUYGK8n2h6PvoTqSmxiPo4OLo5z+rKUIpD4DKsRNpF24Cq350b5w0tVxB1EAg1faUhqKp0q8A+
XM9drBTEKsQnt4xfK84Bp8zyzA5S569BtvkTri7DD+8nVUVNBS4RP2fn/3gWD0v3/X//5/mlRgcL
nqLMvw1vVBQowrFP///CC9f5N0oMz81/+Jd+cS0iCBU4IQCSpaBh2MPOP7kWFjRl6A2C2mUMWNMH
R/8vsoUX/UNE8IPBVFL8g23BW/yTjyz+EcQ+6FLqnSixkKb+N2QL8TYnAx/qGjcq8N7kZRzup9d6
ry099JUSlw1NG5bzhNO8PkrfiMRhABegJJAtdXtVlAIiRE75+Vx3S9ahihV3/nOYY1MtdotduJMG
4BSsCyQDr/KKy9QUhTYAQkvY+I1CEP1vI333ejT+HTj/9sDkzT1eOGJo8ezyfRpdbw/MiBp7lchV
XqKqp+9FRq/Pn1Glohtso+yzcFK8/0A3Yq7+dkabR3L9CYgOlJthPZweUlZe0dqADnwZBPEVJotW
scUNRQRnBS2DHjXv3uqPQtoIdc593Ovt6E1ApWKoVsmBi1O050mIEPxmnUJGpQmScT1zhkDfRU0e
untwalC/CGkfKoou6xnZQ3tZKNPTSXGgnDbcwBKQo+zrdQtokkg+nRvG2gomfY9LPMhHzJeeh6aj
c17Af8E+MkumdC9D6je72U+Es5kDytXbgBnpt/WgxhE7F+TcliB3HqRwWQTk1v6zdBHXXjwrlvsV
PNaNjFqywTCFUrhHPQ+6lzBvbmfgZxCvSZ0HgT7cuslDxbcpWfSfyVs0fj0zr6GdPNJ7yt3dZ2ea
S049PGezW53VvFG8+O75suLB9Umi7b/mm95CnMcpMqEunZZi4c1acgQfgnAJuicHNa7sYpCK9Zdi
lbq1aEZM96tsUNwCRqv/6iKhrS/c8YxcrujQoN4LyuwcGA7S+pMs+ZfAKfLoChQLeiBjyds5xYRS
vSbDgXdqoJpG/VAFxJ6NEVmFcgdyrmz8ZwiryeO4BPEjcCj+dUTlZL3r8+BDFqD7vrVVzyDlIHJI
8WirqqcMeffuiMtbXQMdKrEH8XOXYcmtCqEq7aPh83FZod/Cg/UdcQnVvMouVjMloRmcGAg/89e5
7WUMnFOgHD1Y4Xadpvk6S+f1gxXZqCUjG6KPRto0QjcxF3iLYsWMjBq63HiSBeEc7tqJxhTIvXRX
+T2xsjPr5QEtpwHCcAxhty4SJAlXf0RVnMLL9QKa6tGif30zT111B8sofYZKnR9bq/KiLbX38Nk0
tv8iSABGIlaWbDaTC03zNEQYs82MOMQZ/NQdwFUIcnLzPlpBr4YPTo4T986fQpbNJEOGd87rQN5i
HuS7B+iwFqTWeuxdsSKCFGWwswpWJN7utWbuchrN84+lWMbuM/8XZFenZ32f1zYKdFyf+bZNWSOK
fh1ZYIsRE70ypgcGah/QPZyZW1Q1K/ooYdt9ZmTYXLigsinLrp2TA/IhnXpSia/vI454ubfWkAHO
HVy7z0qExC59ZMRRZdCKAuVUtOWhSBwUYFy/P46GSn/lNjRv4AiPPAUP5GLdCHZbvMcjg3EhySN/
Gn3ZXuIR6sgHVEQs69ECjtFfDY605N0CTxtl8cXl+F0JI+JPuWfX5X0ygaxFtFX222TCPWrFJnYC
l10zlhIB/3yr7ZlcIY5TBoIARx6TKsKwwuNUyS66HuTR9udCBgfFxLUITMtdQHEM9U2JchxiCWim
cpi3zkM+UjPbRiLKgicw16NzWySASSgDi7L9FrqzuMlo9AM+NGbBlNbSgkTg/7F3njtyI9uWfpV5
ATZogg4YDDBk+qzM8nJ/iCoZkkEb9OTTz0f16bmtUo90zwXm3wUajW5IVWlIRuzYe61vRXEjPzVG
w+w1sPHOfbEQbmXvG1YIg5NqtNjNbVWUJWZeegsQKlyy9pqtmRn8Jp3b6dQql2veobK4SsLWp/ce
Ornsq+2WJhY8pooxbBh9MM3bgv1nUWDdgKoeo9L0CvC9laPrx4S2PVwh+gG02dJYJ89gAfCXxt4V
kYn/wR76KKwW4xGd1DSGRlH1z3M1a1vYYAmhpXUbWn2cHK3cjwibiLADFyk9CcMyZnuT4BE/aKge
R3IrpNLS9zF6xXYnatspJQThOSLFp66Ode3p71Z6T2gVOqq6gXBYLCIQPtB5pck4eQcjM+PXvI3c
r1NsRXj1mvK2y52bfmzUvM3yZrp3Kjf+ZFtDuS3YpDYgr60HtCblJ0Mkxc4s9ZjT0VKQ5ty5zZ0f
E/Dm1ug7AnPJ8ktax/mzifsi8PW229EaIipsmKZwnQhuh2KsbxHwFDc2BPxtD8rznmW9/iT9PkEa
lN+N9DjknvmX2Cm06atAqOTcXaWP2MPy57EQbbxruhL6NRsYHAO1kL7uZzsESBzAFaF+nAFdlr3B
qp7YdOoPpV3UyUYubbnzUr16nzjO+tUW4Fk9hwwkRMwEQiObtjjVD8UmhoDyDSdys8mhyB3MRcY7
ovjMqx23rtjQKixR3ELvKDdtYw5n1RbV3suJbQxlblVHN5nMXWwb9zKq6r3OWH3T8Bk/QKysR3ap
wTmWCMGG7Vy4/VV1Inr06W7uNdSkO5uA81CT2uLt5tnB+MAB4MyCPR/0spyPo2b4x4U86e3cNk3Y
wRcOVT9LgKSt8zSkw/JF13N59j1/OTdl4/8rAe0HztbfS6KfijnSiDDjrXgbZvBQT38siVRVWJ7M
4UkCbWoOtGDzUB8tNiGhwWWTACMRGea/M9SsR7P/OLmuVRFdMBvr4JrHQ4N0rZr+NkKAN0XnfbT9
k4LR+JHoDRaGmiG095sO1I+ttj9fh2a2Q7lsMl1+OxEcCF/sWz+OTiJbKwxmqqzZK+bXniIWjF8X
e//0Yi4aTr5OYzUFvvkqDZ5hYgYd/8TQwd9WK461Bd8Zakhvt79+qZ8LWU8nhdenFtf/YeyksHXU
2qQ7J4t0+mu5Yj7tEZpy6yGMbV3A2P/26yEmMw1uE91hJvOmZckpl8c2L+zTMiXRuz+3oDJZtf8o
FalG2nTm6/31a/7YuVyv3aqXIMmN/hUX722xPhex6IDeiBMQXaorF7RtSlkSsQOXNPyYqzn8VKgV
GAuRU0u2j1+/gZ9vUhQCNt/zqq01f2rcV6VQ+pSDCe97RGLjCCmUNlD1m27wP74K8n3fcQyUG2/n
8XlkouZOW+cUw6I9zCn0V9f7rbXwn16FA6WH/oDIPvvtY+50lqlsNLYn0gq8jZPSL4Ho+1+4TbDJ
WTq5rVy8nzrbGUpA+KqVfTIj+MRpA9aEafToTts56oxrV0/D8psj3c/rF2s6qwkfC9ELL/vjSoJ7
Ah9m7ogTQB3ngwHm7rToaPCCPq/QuIFQNhHaLr9tOf/8sDNk9pky82khH7x9ImgEQa6rbZMYKZ7u
iIH7uXPIvF8k0Opf34f/8BG5OYhfpAan1fd2sXSJiOGlChPg7op4BTh0XtqOvCHBDYOQy9tM613z
6xf9p8/n8AgiyLLJ5X47NxjAgFsJnaxT7igUw4WwjrnuJXsOOr990t8Il9ZHHc0E9ByBtRvZxNsR
WYUz2tNZT05L08LolUZhYxVz9fyhRpV/pWsN/iuCxXg3jdR1DOnm9joookh2Aio/hwscMZDJ2y8G
UBiqzqXMkzsvc4ju/fXX8vPCyxjMWluglsmw/W3LtUztkSYhOURmgeQlTCOoznLS2C8HCeYikD5l
/a9f0vj52cW0zlPF9kyEHPPwH2/xOKdfgl+HWxyFWrOdaEijAiScBISSwZaZ1NF6v8vUuCp83h8h
Gy90YVN/elCtqfK9oveudlRJoH8hWyWbX7/Bf/pOWCm5V9Ce6frbSYOuYHcNHk99sXgU3botP2Gm
s05tTnhzMCr9d22cn+5N2t3r00Arh1sUO9CPX4hK27Xon5fTICLx0hKKIFF7ltymU81p/Nef7p9e
jL4RUiac72wHb17MYzajx8qfT1M8TXeyJMaKcAdOObZec0r69Yv9dKnXRv53lzGTOpazN3VRkWlG
jSlhPjmRzcGSoRR3Fg8ip8Rfv5D5IzGFRw6hIaICdgQ+HOKR9Z38rQLL8ZpOTu2OVBANkdQ4sTjw
al7bZc+RVi3tuZYDnRARw4VPQH9OnEhcqwkUY+DjVKnpAVcNfQINsZIVtoxePi5u0xx0ZHUfMcBY
1k7P1+7HqDIOxyNjpruuRIH9OxLDz9cH0ahv0zD1V6nZW8VCisy+xvnansyFSMCx7NF7kJG4j/X5
3666AG5wD4CzMWnpWW/XfFDVZofXtjkxprWOEML4/KrCpKWZExDVEqDMv1cDCba1NcFW59+GDdnm
zVUqF6alqrHFyVGT+Oo45nBqROS/+94QwTFIV0ctuf1cTZP5m5XOfHuLoM5AduI4uFqZI1IJWT/e
IiLH44u+WJ4M5hUkPOvSczIyKsFcWCiJp8h7JR8mE5uhao32ioiRJ9Bq4vRgdjMjL9OU84OOaKUg
kGnt16gGikMg+ob//g5ebwqnlQQ3Gemd281ayW8aU/vga2j+aVyCAby3Jd6kZr29UAFQPWDAN+rT
0Mx1G5hOO93Z40RrrI0y+n6oD9joUzXE7sYDpoUSS9eyZqMbWXEPB1heG6fT9pNInbtqNrRlX+Er
COhiE6mmu8rUb2hL62UI1bH3cRE29U2He8UArVkvZNrMCqEcYQwnolKMkBwFG+dJbySKoLlepXZH
71sfSNezFgkEM8gNLGwkyRi58WVsvIymuEasSggFeG2GkmuV3A3Mh+IteN+lOjoVLco98/ooOYDD
4FRUqoU/XZT7r+JzyCI6L36+1jWq5llLytwm4xO70BhmRtxwcJ8bZP/H2NOmh3paiuTOKsh7vsli
NXT3rYUldmPWLk93ZRR19lAtOvtF03eG2qEumx4yRm43seNU2YNbG+2XCVPqQocX6O1X+HG9uDTK
WFtRY85lJjGEH+Sj2y82GO/lERCj8LeZKcXNsGZ00dEgSm2XZh3jfwdETLGhD0LnCkoPjXCvmB3M
nFbEb+yBpRivy2iVR3zsvfY4VUyJQ5WtZltfLwUtnCTHs3gLr8TuHoxUS1qy6TMar5xXoSYas0ty
lqbB2R+GpnWzDUkIWrjUJckjjskSbi8xd1BZDhwkTBeT8Y0YIgNWKVkhEfsqHMhr1eT0tDCQt8t+
wj1sBibCvuY27vWpQUBhNznxLcyHL2XiOeZVSxv2hu91AD177j5yUGg1YO+nbwY0gWQkbDS4Dum2
VdM3v1siEALDdPdnC87Oe96MxST5SUjTfkmjBGhM27djffjzsXJM1hZ9DStAJyO9l9JOab2N9mw8
GRN+4gPdXnrzZidYxhvH5i5SnsPJLMltvlezXXvmllxH2ynC7t2U0of/czSD0O8lsq21kIgFtZ1X
ueKlMOTaiW1oz4N/5vgzGTod+O/bn+v0NBkTelfuje0yjwgyPZ3kDp+e3p4LHAywAWuNSUM+C75Y
gSfI2knfjNN72I68EUOnd7KroVc8lJg/pk/95FoamXaunWUPHiZm4IpTbjw5UpYi7EmRnb96GpOM
rfSUKe5nnHHOJpmpjTEHI/oq2I8ZAwAXTWhXcK8IpjkZT3Bnue8pzDMQexDvVi9xng41AYFRtBT0
5rXchiHVtHTr55ym5I4O2uLRkpAiOhW6PtFqo0PeeTTIlh6e0J87/n/PSX8zJ2UNYCf/f49J/zeb
QFX+CKT7/iN/AenWlHnOJhbqOkQuYt2d/gTSaQboes4tzEdd7B00LKii/krSdmHS81P4pBEJ8ye8
h79w9RDpTI+2Chs7p3ECLd7Q6X9Fq0dcxeb4tw4XXYNVI0sxh6eBt/e2e1Eot2WIRIvXSGt85MhK
R7yL2JUJadXPVT14ZoEMyO2I6sjMIi/09x0KKgMVZF20T2YhOlrQq6WE8FkYR/UoQ3coVe09EgVU
t04X9rLE8BPWI2zanbBGSt+y9OeD1OhVJCE6Q7MYjg1jBETdwdL1JVz2Mp+JHRuGFCmhD7sTKL6c
TgghBv0oofxeZhFFT6BQWCI154O24t6BUbpxqE/+xrdlfSNX32aBCs8IbDsznxInXUiSTfoRc3RB
FG8A6MrfjohkR1J2lxgnds62smSD/aITnwlgr2uHS6onPNBmsqpqEI5SFIDp1fM9Ubv5Hg8uWYe2
X6VHp4iVe/WxrkEHmfV0rzSt4neuPP3uO1pfW317ycrbr1fyvvwO4Xe/A/kZdQLnL1ZOv2lH5UeA
BcbD+B3jj+KOYLS2RYAR1yvoH7zCgrIe+r+0FTkAjZjfRUuFNbCJVT1R9iKZR7ho80HF9ywBTIrq
ZrSNfN+aDtWykQ1bAjbIH2iN5maEdVSTnuyOWwpGDm0QL+0jFGn3nS8Z9KAn8ts9hgjV7ZK2ITBt
4FbfaFhS9HvlZFsy58pib3V5xOzTnph4yc4N0lZKBtdDMbg0vEVTbfReoOB0hoKcnyjZQCjsvZ05
juN27GQVFrE5gJAxO32lBde1Ha5GoW9ulOovC8niu8zmadxlpGJv2WNnVn/i4Xd+U9j7Hmz1o1ES
loCXO/8AjsYJIh2dbViDEznkQxLrG7Nxb8kTaFCTsW810Ddo5+KE4KZhdxpIRM3VbmZWssWl6d9O
tqr3ZCRgCVciPiXA0dygsooMp71lM/hJ+vyLLrXq2EXSPHaFW2xQ/UefeBoaFLH4iF/hLUHrnttu
yPZxp8ynKE/749gU7s7MkQIGfhm1j54YPutQLTbDjMUhwv0PdDmf0yMaGYteSgycJYzJhrkB4C1O
WWJ7Hz3ainsoN04U2LDaDIaNhAO0ROdamzZST6R0NVeFEvk17wpCS1Q8v+sRMpO0F/EIapruy6DW
FmqaWmtv2e/Lq7KlHIn2kjINgLdEod0Sx2mQd/jsxKqDaOCXx5K0l/coKzhreV2UP2SCyQ8zhHo/
dAWmZ4/70I1EH9hgke8xmPfhjI3f39GpRJfkMamPzsyMJNPBrr5t1jTe1tGhrBvZfFR+W5EirWQw
TLMflFH3WcIJ2VjzSAKCl4JnydFEVcJ8wW343s4bsuWyGIkgydxuQ0QYuq54TYMgYLR37sZWi2Je
NoNNi4Dj+1r/37vib3ZF06CW/NW2eEnRs7VV98PG+K+f+ks+5P9B85V2GiIhTFd/T27x3T+Q7bHv
ed8VQt+VRf/aGYX/B24OtP9oRdeGpksj9S/5kPUHVMvVU0U/3sZi+O/JhwyTT/Tj3ghNXjdxSK0N
1FUZ/+PB0iJ/r+hEqZ9LXcOq04ds5toGekVE4Lcx1dtMWCRSzYh0m92kMW3ZOnVnfZ1II0C4vGBW
rfu5vZDNBScjQPe4vAdLIcQ7ZK0EY42t8UrkZvxcTIQFprFjvx/IfbwoPe6w0hMBvUsrkgHQKWnu
JR75w3BwYJ/sNdjqh6aT5dmVhKghXb3Pm8561UYik89oNCZCzR2zuxkkmdrPVhb17k27qIW40Byf
NuGChdV/kd8lTWYLrJzdPiDnarfMJOEuWTtvrEa3wgS1+0d09yMKjH4otEtmpcTfKdYvcDpc20eS
XQqM8WZZZVsAn+kzCkYFQZmAyLBJJUNH4dhEMzaVQhvfm8fW7ZK9OckvOd0qoCJpGra6SnneGXbv
pZk+zSSr3TkSXc+Bv2JdCDKOig1LCOF8oDaQGFJmbTtDe5kywSKkSygDnKE4PpU+/CQa4lM4EJa2
YXyn7O1C8/XBQFB9GXxUGkbXu8ax931FL3zxo3dL4bmPmLajp6abTe/Y4PDVNrKt7ZzkP8F5xW0i
+WEYm2SrWaYbZuCn+A7qIVD9VJ4cv8rP3crULfsC2xrn/QjF1DyP567vAMBrcZ1s3dRZHnBZi1Tf
RzGahcxwiFFsmKGwwR5mOS7lhpEKVgkR4VHzgBUdRFWYH+rFYj9YWm158nOXtIHVf5oehKaTMZAS
Z1NC8kd8rm+xy5KNwG6aI6vcoxiY9fZIQiE280Lmdmq8xC35aly5fC2Kch/aOsFCqhaAj6JxO+lR
uXX80jgy0X3wksjBZivyMMsq6rrUbuJAEL9DmqCP572HUBTkiGvToLVNsuOXaCBg2qsxLbhP2UR4
tm0e47652BhXg2XEd59WV6EWFUJK2hNyGZ3crNyV9GuecSbdTxapAA0vs4Pk0gXFMH804MfsGKxH
pETMj8yY26Mi9Bd/sJI3qtD0Y80+s+siZZ58jVNQRpNnC/6C9D8xpSfBgGU3elV61vJ5OeoUvFyg
3Hz2Z/NT2XmE0oOdDWTSaaHoJDyi0u3AjpOne6RX8QoLKT81qYjPinn9ZlkKfdsQMoyoJGxF3e/E
gvsK2c0mLbQyjJXma0FNIFsYJ8lXm0w8d0KL5DOTDxylUzyKhpRwXXjkIGOivSntqQwYTFJqyOWx
S7UWgX5qBAzfo1A00rjj3cuztGcypCLG30dkj/1XwgjnjZdYfDk8bAdVD5uMYiEo46U7VEody9F+
VBbbs5feLEZEt6bXQ2kuT6nT7Su99U9uPD60PumGsJ42nj5vgZNSeDkg7Abx3Cq19+bpIk2NPAC7
n3ZNnXfbIVraII7EO4eAhYBivt0YRf41F3oDPWB0yJJIIN9rQO6VYYR+5xC8jdhqmlPvIuqiCWRB
DIeO5TlA8YtPgcyUbQHWBMnQMHJv1SBSuB7Onm5AG4Jv6A9ek39e3BnxnKn7J4fl8tTjmg0myGBX
aCuS5ECyEXgqjPs4Ufcgt7aax4fi7HadPCFf8nU1y/rIxWYjW436wxQPqamcU1V3CehhyUF/qv2P
rko+6FrLId+cviVdYRxit6Vxh8MUnqEHgAY5z6mfU2vbsqzfEx9D4Ori+MdMug+R09wjDtMR4bve
ueKIQ04EFel71pV+Yw4uaJ/a6uRVmv1ATEbW7XUu1E6vVI/Ow04erAlPQTPpaP40uCey+EjKrxki
VLmdp2JXkj4QTLJ2g6VsH1qnZHXBwhH1Oq5WK7N4e5V4SURKsnTC7kBYzpQZPtV795SXmbMzYY4/
4vW41JpqwGl38hmx57NNXjZEiuGlXfwPiK+PZo8zrTb6elfkBEIk5rgjFfRYOXLvmzLiW1Tiahqx
2o9e87m0Z3trQ1Y66J35VEduxg2cMd8vSIU522rUr4lhPeBUvMnb5J2DDTcwCQXUK7C6rLRbR/M/
CR+sBiaRMFvX0lrz7rzW2repnB4mLl0R1EOsQpZR71MWxcaH3PYceIIuj5om6OO6A8avYYsJ8ETP
uNvZgzLPjSO9QGGjQUzmV0mYzbm3z6d+OSZVd+hqeaLOzfYEaoI29DUOP4OGPTLD0Bz5HFxG0oqD
SvTiswDSvubeat51XnRxz0GOzFe3UZe8T7Vwhm28raWdvNaTI8LR7G+mVLEnjPmzIYZDGVUXf1jY
WKXvb82mexyYDqrULT4PU3nwvfmDdLN8y6EgRE5XZaGw3fQMleFo4BDaCfISTcha9nKdqO2J645U
venpTZ7t1ObcpFkzHIrY+hhVff3ATAVmi4Zkqd5CYSqBj1rlHY5MciqqhlTmjn2tTsfyMFdEgRiG
Ue/Kvu5vTOKT0T6atPR6nVR7S3tOtHHdnslkrxw/0Dz7Ouqu+Q4JI2ySuAagJeZcxJxzMK49lFLz
jn6bLSdi657FpNevWjNo8SEqUAzubHe0WkxWeLwDISoCrtlnze3Q+Z8LbbgzEjcNOzF2D61d3o3Y
32iravfFnPS3gMvft43V7PrJqU5qcd57rcifpjQ7mRqSUMZ5w8Ykdv0Ty6s4jMYcvcjFaLaog5uj
NWnmVlZDsueYn8Koq7OwyAidSdsBXzQRfKXuaZcYDe+72u/GwB9a75sDeXCDu9TkuGflL5Xnzo/u
qCGv7L2PVgbSrfAK9x1xawQCRY4emm4in8ig1lEZMlL03bwIMGgAlhHrQ8QFkwG2SPJvUYXxXPP2
Yvp620J+qZvsddY1DEB+Oby3WpIB0addyXq1N/PAlu3K2iBDPW1EQqu4EUGtN/kZDmV1kH0vqBHK
+GKY+aHLoiwky5781N6vHpAMKpLpvaS/x37jHRbXUe/B3Byqbp6ehjYWO8NPfRCZIL5uyq77ojLv
M6tzvlMI+Td0NvvnVBpnp7T8fe0384bmQrqNaqCfkpbzpsOyFCY28OFQq6SJ/tBCo2ra6kYaLayb
rp1vCjH6h7Eypo2bqM95XBhhP+WpcVfXg/HIAtkio+6t3AucbkzyvShj1Ia0S9i8Wq38qBD0nGNn
tnfAwdN3+ggaEepa7iH1E7NFXpVlvDJmcF5FWiaBWrrYD6JEEWybUzD0fOfm6ndb6LtRAA8nt180
8pB1GLzmbcRBBUrzWDY90WEI2AoqD1yr6RAnYRHhuU3ODcrBXYYV5pHYJiY8FwqtkGSzd42/HB1z
/IK4w9krQnE3BSqSbU8gMpJNkpeWyfYDNsk9V+1kS9EFPv3dTV5Vksym/tPQCXKzlroPyjqCu5dX
EVAhxf6XVYcEYG0wR3UXoP7ODxbyuyBp5HAq9XEbNdZVJtJCPOs0+7x2vHOaFIjrgXKEmesjvk52
ORzJhyYZxF43XntidXYdKsGtLKJnZjEFzh5zE2nC2hAfXm9auwk8zDZImuZy66r8sAD7CotmagPk
JqDutLIOYS1sUN0qlpPUDrAVDEGrhsBbsuTTSHaNQ4G/06EABYVfP08VllcYu7RN0uI8Oik+J8ND
Wj5RGqL4BuoXuzV7Yl4dK3KhfCSXeycGaF72z2hN7VvNWe67gnOK2dmEDOMOCJsaMqqYoUfUdnPR
mmkgtVoz3yFFaXEGF8Xz1LWMFUzJVjdrYrVaa4FVoZhMkBkFJqakG2aGz5ii0AmjXg7TKkq/ZI2x
MQAo3S9YGrZTDi5TFwWmJi96do38RiW9uDbCp7mpym8UvyRIJ+3WkEsVJhrpNJMYMAC0yW7J++IZ
yHG6yWF97pQo/a0QFDum8uxg1mR+IUCJOJsxK3YAHNTV8aJXvW3ijZ9Nzh5z+3SvZgwCPvEYIaR1
qh6j9m8B+V7Lae6vpk7nrFJjuLR4FhOhz1dT+ifN8PQQiI5FO3ZAlua74w3d5i8V543c0D6a3vIS
1w55Ym1/wzF35svI0Jsux8ijO4hWe58TWecpUNFOq98YrawPKmvuVGqdyylheUyUFyLp03d1zfEW
iblFD3DYm5UNflrKM1HGbKBSP+mZ90yMsxVY6fIyuf3nqI9fqyrj/qms+767uFX0XA0L1v2pjD9p
mjngL8mPJGUvYWy5N6TTfSDvc9P4wMIyNsfAjL36GpE/HmilbtwIUd/LkeoMw7gedv2CKzbzYv2a
RdVIeabd9Y4aiEgqpoUtQUZ8XHYChSCPeKTZ89pjwx38aW6Sr1ZG39SKxjlILLNtglHkHaHedvEx
r2QBBzM1iitblkBHXlk5BV7VuMCxm/J+xGxwGLRJhfQfs71MtZiANLPRk7DKkEKZo4F4nZEgh5xa
PY9wlRn/JcORqjo7+m5S7oVfil09L/F51HtnRzTD00xvmgG+f+t7vbwjrsP4Zqdtf16S1DnVltcc
TLJXT30VzTt7FM0TDtmKbALzhTO8vGQl8NAo1m+XJR7Coa1isHKATHt8XRcGqWKrlmnCdDshpB04
LQ2u0HYds/4NHlIKgBIldGmJFYnHoUqhYsFwFm/obWiIPvTbWPSYbmpp0STPo1sH88wB4MirVzCc
LkwXK0vON0ZReyl70poaOR/tZkDMPw5XROmUFW2CPSPzP0GVSDfKc3FD4P8n3s8uKYOahSBJfn3r
jwzZOGQRKsLtWow7gSefzgBMb1wHuwRK4pG68ejCjQnzvBh2LFf2ltV85tLb5TbP0r1M6lsOU95D
LzWx5yhMx8WaJNRC36eSBhV9YatmFxo5LVzn1j9DuQTSkUmxgTlpB31G+5RBcEAcojq7c4vdESfC
oYXBFjZNTRhM1+rnLiPLoq2sb2rpLzPiZMKzkg/mkl4NVvct4ZXFnWy4jFUGA8LPzK2R52OoobWG
cZt22GM97TwKeZeaSP5hpF5ix31XeTTjqa9VONXc/u00ARnQ91g2h03e2Zxl7GTe9SDQ0Mn0WEnS
7utS1ejru8vMVJtwzIi5L+Bq4uYCpvxlWGhFGcAf5+PltGusNsRxw6ps69EhqXJcUlltU7TMp5En
NewjBtCgIFkjbaPZUAC+Dq58TV376Al1N+FHAhA9mxuOkGeW6Hc1VPCd6KctRy3uZGbfYTe0AB+N
VL+SAWzCbh1poyxsukxC8TIZD7PUjp7st8vgZKFSRulz0FnK99DDaZswM2BywOSVtfPBnGMIRfHQ
bRlkcfLyxjBuOA52mh4sSx1A7eCQCjrylIA/oy1dvpZdRS5DrHEhPXuvRpVsnMlanpnX3bmLT4Jy
bZhEEuu7rrXdQDQNCYgUytrGyd054IAjn4oo+eoZcKEX85x5zotlEM+Uv3RGse8771szzLj4vRSs
obEwESr8jZJlaOBI3ixq+FYzEwpzLfsEYDjZqnUg3tZaCOgSou3KEncX6ROzyfAsSIyFskVGn2Ql
75qEBRoOX+NMmF8EI41+ME8aNX2N2STHBTdwKB/U3PCX2MmxgRW4ImDqljDzm03CbGZUzrkujHOj
2yFhhSgaJsJLd3Rx0KXmvU1AtOGSC2nMqr9BZ9XsRWvCucM42BzTXCELYFWDXcD8yCYiOFEJThcq
8u5JE07R7goPD8Su0bKxCS2EJ9XZ4Ywws3yYfboDwW4okwSEYbajmp5DD8b5pscY+tpmEyEJNxHh
dnQs/v/06/dfq+tL8bX9n+sg4DPFBetc0v2vH/+XOeu/5gSbl+7lh//Zll3azff912Z++Nri4/9r
RLv+zf/sH/6Pr99/y2868Xhskcz9aj6dwVh/af9u4/3zZ/6jDY9S3tFXYTJ0KJru/3dA7Ys/sKuj
6TVBsJGA5SPr+mtA7aypwpAQ16jf1WT7twG19QejZP62Rwt+HSz/WxNqvBY/duEBRfEPQBrXMKjA
0W/+2IUHyG0yYOrF0c496g1bg5tdUmYsUTKd8ljZh4UTBweBcZy/2FWL2CMTnHaQgY4PVdXrPP+1
9kLjVL9kzCIgwEbWqthgb3Nqp9zErXCvtCla1pwhfQJEnO8z6ppjASvrU1VHHvlorjwhQ9t2c6te
QY/JA3FoDW4fCZCXU3e9fNbrTENoGzsg3KbMfISelp18jshIaiyS3ddD79SVl8o2OWfldLQ19riT
wUJ4LNMC9UuhOdbG1GL3VKi+zoMon26rmlT4Ovcw/7bY8HgAJ/MeNK1/JUJAvxhzql8ASyBKGSpL
7Uyq0z3E4PjDep67Glp2Z0xOf4lM42nRqQoMjLlBqQRNSl3V1jcwDEkwIm0KPTJfzbAByXVHrqwI
DIltl24MNX/DzHJv53r9ZWRavrMai0iNFG0RKsbsWQnpqAD5kdzXxSQPftuRwi7GYqO7Mwnphtm/
r7w0uu36ZLzvqnT5DKl4/sBBy7qPM8JwrFk2V8eS0z2joDQEMZXuVEQYqT456pVJxbQhVsLd1UM+
ULBmfAxEroHIyvwwlCMKs0z0XzTfCtLGJuXCr89mGSPoAZPQp5DYM73CNGVHlyKriyP65GOeIbmK
VbW8F0Oj9koN9rfYl1XQyi49d44Y947uR0ezSIo7iIsLc2ZNZicQfZG2RTZHUirxA+/iOV17hk6x
RZVQnzgQj4/1MKonPxLpZQHccxlbnSQD+pXp+6gT7Y3s9fxRVKLeF6sJnLW40g/IiFzqBvSo98vs
ppc4FssODneOdLX2IMOktcFIuUNFn7bWcINIWr/zG+4VOC1OFMpF5J970nKvnEDzwzz11tkBZYjC
yUk/9p6bflB1ggcnru37AnL+YcLBfNWpY87maFeHBvP3bYet90kulh9ORZsfC60nszgiEdMvbe/K
nMD8WII0vCgUWMcUYNZBypyDUZG1ObySxL7N6/FsJqPgdkSPr+ndFi5F95L09JeDmVbk1mTzfFHW
+NVWU3GMZ6YoBfEDJHtHYgfpydvMeCDfWSL7PI9WHTM9EeZH1yufqsEimqGl+b7opX5fJSTnBhh9
tJOtQQRFluHRZhwoSkIaNOqljRp558bkiwZECBIZG2EMKAd+iFzr/Jn2C4ZpC6k6XoHijLuyQAxi
pUeMzs4Gynzx6Fpt98qkcmiCLjOeAHofmSXTMx7VHjgriGdyTAnDzWV2jwcjf7Cj/ODMBFU70VIe
RVZUmxYHdtCzWH6k5kiPrl1EO7rHauO2eBSjcpIPdUsk5DKpKrRQCIZLMmcrYDn7AK1/enbh99zX
ZlGFXFDQGthVzA3haTVSwokTm6POqgGzG/r+zu5ksY/aUb9AlkVRn98PUTR8wBBcAbm38AbqsXUo
ORu2YT6SZoZlqfls0QVaC9/NqE/u/2HvPLbjtrI1/Cp33Tm0DjIwuBOgUInFnDXBIikROeMgPf39
QFm2pO6223NPumVbZFWhTtj733/YVeo4BaBNUoEGoTtPvU12BkjTkoP323OFhfQcXS5dle1wWGAI
MM+m7bfDZLlE844V04GZSdTSQeappHQ2rjvcR8tsUFFmeBrlsFQ45vDV8dy6FWfwUOpziLgiQGX/
lGoZjnhRtOhBkgPAcgII3yVhi1opecycUSDw6EQAwwNNbJpVr7kVkzBQxe61WTjWoevMiWkZNsbX
Sa9kG9suUX/V3QsTxWmXQrq6Ep1VEDdY6OICQYDwHcKHMcZ3civAMNt9cLk1LhYjjh9bx0hOxTJ8
xpzR2nMjLv6cdsMFiFnCUhrTU5dapQ8p2D0V0mivgFWa8xS7/gclTPILWDo19FW0o6pLn7NocR2Y
XaM/QgHW9hbC36ANnWpLua19XexIno/YPr0YerNeLnIxnjBVSe57TR0YPyQZwVgUhTtAxIxIh4gS
Xw3jK4jJHOLQ0jwA8ulWSB59GZvLZp77OugmzTlD2gLKO+VVfEny4shCgxrjKnif8s1CfJ8jXe5K
CIRr1Eh9n8twl6h1GpAKsVxlg24E9UCIDGYDgmJWKqXhEVm/tZqKFm6ItKOLXdjnsdEYa6OGIJyF
6zZhi591BOPtcR8m6CJrWvc5s6xkU5SjeMLjItxzMhEd12ubWbPMq4We7K0m6exY946yJY6nuyTx
Mz+YBtNwy4i663wenftoJIxUFY24jQEgeDk7BIGfFWurQ925aOfmteyWmdhqyfGP6RVDq3wyot0E
d3Kz4BnkaUyBzFJomDeVbQKMhcc7cRdrMBawd5El4nrl8XD3p2l0J00KES+VTT77YKD9dRMBi1Ux
W5oEbTsjALBrCXG0Q6d5d9s6Owx5rHnGNCon2rdgdsriaiCPet+b8tlsmepz1jLLceQoX7PeeiY6
6kWE8p1cjGenmm7oGuhOFljCpd4Uh7a054B4kjuQ3PpYx7Z9N9SZ9pARHfmGDmV6xIP82RlKLDBe
QNfoLo5EsydCIogHl+t3cNso0M8ptcrI8hYtE2aQkLFkBKuRJMHUpr2R4ySdq6ZvZkLLrPBdJjNw
cc7o231WZtIytsqwDH5YiZ3EmwACbVxXiK8bpXquOUCpvdZQoikE3iaAqDjChm03q5fhhiIvO1Oj
uWR0l9jPDIyA6RHSp1ch3mdndkwveYezQBzuSDLPoepN3bhAxI96M/3ixFOn3JtkD5iBGg8ozysl
ySrM2BN9Uypi3uEjX24Hq3vsmGvi8x7lGwELj2G58QjyP+6tpLaRpfXygr+5ctNtykmsKEDTT9LV
HIT5SkXnE3HLKPag7KlF7sslzoPY0uwjN4hyGyOzP01Mz31i6uYLWGXNBfNqBKfMC/o4GV+MDA1O
61oKrviK3KlgdNAC1nJLXzTJIFVvz5LkQCIkrvIzSoKwJ9AH4JlunyQKlD0kXhnXxQJhHNF9dFgM
gltkGILGFlpy7EV0sgAKfGGr9YkJfb+ZI7v5LHUkvESgzDt0BXRYfYfeIxLQ3JK8CsbQqHFfIvDd
68O683FYcfYSkiMoqVbsaPTFuyEJafJroh0nvFUcXf1iORgYPHZCEsP5Jg27ycz7sDFWZzjGoQlk
5n/oVP9NE0fIMDSm/9zEkSlUfn3rkzfZ/9jHffux3/o4QqxXqjAkfQ3BFPbS9FG/EY1t/ZPN5hW/
Oyv94MakfRKIUTX4l9+btd/pVOITLZxl4q5K70VnqP4dpjEayZ/7OAPQDsKW0NDf2f9GfmdqmMpw
0Az7qoxU4NKEfQVfB9v3/mm2slcHw0KvrpY+wCrI9bMU4sA0gWs6alb7onfunMHJjmQqgc/J/DQ4
mLnYikVZ2sKWFwqHbwpNcpYrJ4j6Y2tgR7HhtNRJlmQUUbsKjZclMdV2tWswKbGB2QsEZjhZoDb2
5EUg3R6bZvBTzCd9wf2yIW70achdLoAEClddYbxupq+WUosNxCdwf5XzEOJxe6iH9gkbkRon7EH3
UvywgyK0HzCZvUkZTA0tL09cxFNeJe9sIR30mFGnbWnXKoFakCf4PFY99YFomyeLEEzIQTa4nMLH
YxKmUZOXYjMo9qFtnUPElC4IOx7N4IZB1BcYzabZO37Ok2dZPEqSNbqNaPil+cAjQDJxz0fgMQjn
UCRdtwlb/tYgeA9DbVDrhUwxJFkq+xQ90bbKOUCtxuK/Zsb16Mg+WH8SuYHjJa6EzqOthfTMI6hz
vQ/MXl2uoyq/dud8CPKOl8zx4j8zjYa3P+paIBvekF5b2YYY3Pusc6k57bU8rMr3uWwqfOxazTfD
mRIim+GyEqP7FuagoX3r3oEM94Fe5gR/4V8Ei5roN6NnkIeQibYVQetd6ITZiXllCOc3X7Y1eqE9
5ATGDh0vOpr2wVGVu49FkjSI8Gaj6Ta1zTpQZ/26GBwyg4R7N9IJ+zi1DH4hzOsh4U1FaWYc6BTc
rZrKblNFxXS03Z6pdb2uop6/C2H/IulU+KdVpwX2gO+iFVoTj4mFBbedObFpXrCe3xE9UX3A8ffy
MXklZJfvfuGfUsx4qJuQl429Q3gqMTd+UfCUOpWmSLPr5RwNq+u3Xfv08X0XkYMbH2Wx3zO32RLB
BkDntnz1K0lEWk5+FGr0ziZnVXOW4zXL6nRslkq17gUYvfN9HvOPSM5eoV7x/U/omqkrkgvJ44IS
fjcvfPMjPiyebY8hgrJiOY9pSch47Z5sUs+xMeEbdtCceA678eNhlDWbYlT4q3VWvBbVqAWhsJsj
ShoT3JlFm2ddeJxpJm8KBku+hm7AG9uZqHqilLYQkrSgzSqxKVqDRyrAdsco7s5AFacdEAtxaU2Y
QKBZtCCz2ZS0iqdkTEvu2opVhlUBc5YyO3c0NqouOAicgZucmiQPUPW8i3xIrocYJsO6vWBmLnsB
EB1MBnR+CYHeqyRoAOaJ3cYgQeYYxaLcTdQwASFVbMMMR8WP7xZDxTWvpTxZQ7geISyBsm5cXx95
Nh+rfLGzZUtmkbujbciwX8ndLTz7fENAXA3hhee+rnC2+HViLOVOnznG3IH9bSwu7M71a+4lCqK+
ZRmBLcHCStXwhQxmZW/GfFTiUSgTparsQ5c5PB6OrxRufAVq9k7/iyezzu5B85r4hd67vlaq4VG0
sjzZiZguzMncOWP6SmzejBvsWJ7CTMsCCiRigxah7COTfVrBwT/NduxubYtFVsInOSnwx2BdcnzZ
aQEQyeGATZaXTMaOfI6Oimril6nj4Budbvl2L/RN25pQwrSuPYwWJg92iR3BhLPVXlTQOpU8Wq3Y
YHOEI1/dR7BYKLXrGEUyCTzlvINiqwVY+g2+CcUbiyjewihVdhHBbfsCF8l9YeeY6qxnE1RQ5irr
ph0SawBLUO743fGV2bIkUKxea5hs7axQcTyT/pxrZ2QxNVMNJT3h+6tyscE/tTzB6ZkupJ2902bx
aGZ2wMezxtEw22QFv1KqfK8GXMbAYOq8YbDAEbg2WEQPhFe416EOqBoEeWHz3tj860KmRLciJIgS
zhNDyZOt2rZvDqbkQUmit1819kNRGVWQKfGVMsoLe3Vf1kfMI+ZkYg6n5F2ubiC2C6ylsBTGcUSx
ICnmy+fMZPzlWUDqcDgdtYOqtLTpKxPvaUNj55qEfWl3ZpTlG3IB6vR8jjp5JG6Lr1AXYRR6UKwM
GaQCKn7MOOoK2R2ZI5DgcqC4tiMp1p+zXgTQ9NsOkm1cq77VNMqxDuWL0lfVl84d3qC7VtKL9Cl7
dxpdWVAYKcvS4dg9jdB522rrFhmcZq+FmeLXacueT41B2URcRRtNdcJz0tgWZYtKf+wuMi127EPp
Gl2xJ2evV56IOYV5IqMhP4Wxq8NLbXPV8ps5a5ILcyBGOoi0MlRuSkn5ENvW3Q+l2NW/mjWuzh0/
KKjWuoaRmIMC2Yaw7v7qQJG7irYYVSv3djLThSzxe5Jxueilc0eyKdG4PbvOSFjpf/66v9gZfHtd
rDYE7bSw/yVywJ0NjdS7Wu7V8eOwYw/qSfalHOE1THX2/uev9ot8/dur2YwDNILfV6+Zn1F4xL0K
xmml3OczC2StBNwMIDQCePv2uf7RVPzFJAet359OcjZf85fxpf36Ywfw7We+dwAmSkMXAw5cq2gD
4GX90QGYNAdYtOLqhFGKtcoJvw9y3E8sXboDFyjfFswof9dT6M4nw2DogqMEPgzYUul/pwEg4+mX
jQJ7xWIwZAj8X9c50y9LKEupidTFbfazNcdPiNrKemPVOqo6xN9ofuy26Ld1M1/llbaMfh5TVAnb
JTtY4Fg8JHjOLfqiPoWJLPDFh8zqY9k8fp16VBnc7ik4HoOJPOqvShxI4Kfnnz/cwXRkT9syYmw+
6wLD0Mm1Zo+HmMBIRMGQ9lx42JQsF3lq0sY7krrRJu3bWJNh2qOFpJiSgMtdsXNyGeO28QBc2rOJ
vFLCW3Ug+slMdyNvDvFya9UHyIDhgRTs/qZ0I5yhuuRzajfKU5IX3D9NaXlGM5U7UIcoqNcGpXa6
+nKZOCSKqbsenOgL9CQ+JJGzHqGp1+z1bOu6GepfU1e8lOp/R0Doe81UYfSE25NXKWidzBqBnNb0
5BkvvHo8aNeWPgkvsfvzHidnT2oUGapzFw7yXCWW1YsxAR+bRT1NXAIAtOUAEDqu/1OcCDc+GU79
ROIV6btqPx2pnz5TYB9W3M9bhxXZnH1uTGo/u6puJ/zjnrOc8qgmH2FDboTcSkFRR26bzxK8m/Qw
YHQOeTK01rdARLzJr3abSd8R0yku9UyBegJzGNs9N3+oaOYe1EmnJlorfzwR9S0k7IlBCNEPsSje
u6W+gsKyEA6vHGExNS+VAY4EfxPKThLiYaDXeTBSBl7lI9nUzuKgQOubS3QW7ZOROXdWl1S7asII
Su2g41thZmOa6apI1S0nQN15ny+1giWjPt5HRhgdjYIhIyVKV1xrbijfFNGs5PVG6Ne9lusXRdLE
KihoPNGcxM0S4Ap0qysq5Eac8SBZVPpNl/eI3pyw3Oh6TCgiO8dLSa5HB6/A0Smmxt1hkQCMGNWq
SoEwV3DXTMfrncGq4F1P8iwC4iZJuFXMexv/izOjsAQc6n7YdHNPoZegpUEUmFXVVnXasF0JHOKM
IGyzP1Tg4AhA0n5+V0pzUXZOW1Xh+wxL7DyHyIUvOGl8VICJjroXt+66SNXbjyvln4P+Lw56DZs4
zr7/DPdcxkn14yn/2w98H9iLT6uTzGpgZOPzYq63xm9Aj2MgKF/n5DZn+sdJ//s5b6ifXPI1MN1e
890oSjmdvyvKnU86VtOczHhF8eOYrn3nK/xW/vyZpFz9tVLAn1FdbattFYE6aM+KA/3g2BOOSjTE
pWkeSLWvw42WLtlNvDo3muQZ+fpsdo8u/da2XrW8jJpCfAihxrlMSe/N0qmfDcI2H4Vedo/RhKr8
hyf5X1RrvDuNMc0aLgdOZq3X3Y/vzpXsBJVRySElAPbFjI3pqhFxuapwsJBoknzeuTUAUFcTCfIN
3vyPHpZYI/1yBaJ3NFfJP3wLe4Xc1lryx2cTa/BzSZk9UF8/FU0ICW8kius8c3H35zI07ZMmAF15
TJZ9Nhkucrq0TT5PS7l8sSUw/qZeZv0Y5bDVyZDN0S20MmMuUFnXduzUs482xjyEY9Gf1Fqvt4ao
oYVDacZAuSCk2hi64jLWZgJAbHVQfeE0zQwRywb7l0vBvShjDjsd/2tU3Jb2TPOJYKAjHH3pnOrM
7oyFlOlc3uD8WW6r2eDCUHrdwa+7gT/nYwmT+jpGvo9K2ypID+w7OS1t7htLg+TetuoS5uwUBQqq
gsGjQh72ZB+HfoYUGdSslzOiinFAQxiiRKrjEva1NkEXSFdvCxpO9YQZerix2rl/JJOT7jkRzDI9
gck2mSoUQXtHz+YtFHJrN7kQChR0x/SiltbcuFJJrwVBouomjRoBpVNYWOXguImYasINQBKcsR30
yZm9hK10g31QBFDVNFbu0eP0d6qsyHbt7VEeKHNyGFpa2d9MiXRiX9XHDmMfKoYtIaQUysiXMx3K
s1WrCiZVy0qdbQWM1ChZNclom7y0XSBS13AR9yYKSIWe0YJ0appPdjo7QYzZ7lVWMuntokZr0UwT
jmSs2k8vEhPZySnKpbYfzas515TdwhzjSxNrwxazky2XwbBhp7qQ0+3iZtFmkMkeZOO4pE664SK0
X2K7r/dLIZbAzeseZ8e2WrbwWCMYaCmgrd8M9LP+gHXPzunRANArT0dayvBBTzW0WWOMAgpLlPir
wUT5knSZyfSS0i6+Qh9aqboLdUdjJogQGRI2zIuHhdbYspHmgMCWt3GkpPoFjEVJL4zUEwoFipdk
qr3GLiumTXrYEGs/haXqOXVPj5MCenAXtukO9vP4JcuGYtUbxQWBFjjoDOK8a9w2eRmSHI4CYgpD
u+y6NjwuclkNAvV0eLKmJIJVQ6jxywKZX9LOy6llVzRK/1aGMs2hG/cNYpyeXO6gh3iqBFXozOfD
DAwBDGn3aiAHZUluSU6dZ8LaIbf5QEGYO1VlW0SYFRGsuuqa2txDg2OWqx982fpE7Yo9CewxV0Ff
ntoYO2tQLr16IRVj1fvMOUt9EtVhxhD2BkB9PQxjPn+GqvgyXaR9oUksvfCHd3k1IEHQtDg0bxkC
qmPQmF3YedD9u8c+sVLDawkzUIIpshesF1AMY65TP+P+XT2Pg+ZisWGCZG7ikY0cMO+ZiKkSk3wV
8FMFAo/WFBduOGJgVWt19dJ2uWtuPkDWj6Pc5ZOjWk3Bzwi35BzNlH64mBJtecg7vOArP6M4xpNr
CmGYLhtuAnV+MaUkT+DoMMDl/5DwuwbraCZDBwRTXcbhqYyQh4BdKmb5Iue+YOkgMTsjPMW6aEBF
B8ZnQ6VsR9mjH6bWr3ET0vLLuYyJbGDYAKLdqdCKZBJplwam2a0HCSS/bM0cFStj0MrcoLgdsMyw
e80DZoyLE8bjUHFG3gFrt6iNQ0lXMyBbbeHELroZyg2ZD/ZnBeoR4rWkzVwfqLtUN1gfzEyb49lp
vbixx+dKVSrsw2e32DgWcGJIUgUMEiCpbOyq107t7/VptA6D66bmjjDK8VriLZFvFHRJw85hbgER
y0lAcrTKRQ5qpoy9JQzlWB9ChC3KXJ5i1A53WoYmyrNJBXszmQED7MO63FZjFqRapWAMr5rTychT
bJLjIYZqiYWl1xOqe5gapzYDZ2rVM53hysHVtMXGUiJU7jLumYWP7BLg7CLM8NSmsNcBSIfwV1Ya
9OO5t4HkwPdnTr/BStsN53jkI2U0tkyBMaQo9O7xn8LxvxkTqjqFww/lzsom/Y0lutJV/+9/9wAE
SfJj6fjbj/xWOqomBSIxtzg/mySvfPgqfDcjssQnzcDmGkTpGxDwe+moabgxqJggmNh7fnBEfy8d
VecTYBCuslS0f39GaP4MpRG+tRrykhijkQqNYaazlpY/lEfUbfmC34F2C8kLJVS9FN3MRAQowyfK
wD3VRtReMzhs32BcYOgTZ8qN5jasP2y0mCkkjunn3cRcSpDhuFEQzPRIOgNzGjjthOD3WErEZEkZ
qgTuPTDZKjHQD1U8ZVtpMHRACOyeNIWQh9gtx01CyOyuovm+WVJ9weSMaiNWFfm1XBR8j2JjNC6V
KSHto8zhM8VdP764UT2/2Ho8J2CYPDb8ygbOxDZr0WrnojkiPqhfsaBJXxDyz1dKhj2i5qTzM6db
67uwNmwKwKX/OrQRIuk6X88MsSqbrWu1V5LEIzFeu5f6tGR/ASp+oJV/oJkfX4FF8g7fqgDlI5v+
56+gIHQ0VfCuvl1a3T2YujSDWptay3OrCWBRB1vA2Ucr3CusabQT5Es+GpqzCjw5E7ByY8KhbNus
Di42ZOdLaMbcVEb1BW9G5bHkYrqJ1/QqM0nTc8nQEAZM3OcPeR46uyhm8Cg7vbp0nPa+x2Rnb9bj
CT6HdqfF2o7Zw5e0gRL6wyb5Nz2Ba/9UlvOhjRVAXTsfXLeMfzFnrh3LiQCZSEOrivBZXb/9CE+k
J9qb6UqhNjwQO9geSAlmJBOXiDEKpV+2HW0Mo+hJvNZECMGZMMfpcu2bj2Olm7fhzJ8aAg+/cmeS
ewIH5TKWFqMrSFpXphM+EKep7dwkyR8yfAJ9i9yNfVKO5S5WWmUH68razFXbB2SrsKb1XgxnYtG/
lJY8ja2m7nsZmnsum67H50nfJEwXg8lk2CZqN96ayXNeu+kRke34lsRA0Xmvj291G+oHe85bDESg
lGLhN/j1ILd9QsAImzK7gPvCZuqyZJ/pXwQ4QktOXWthYMhQGyZZVMBzdia5SfDyI20sdXdiYUqq
UQMzzimRa5d8S4RAJOk5oszmNDu59jgD+H11uHhXTXSLkaBpAgZOi61uS+yt9phNJmfEOIvzcA3X
cUp1ODezhg9HKg4ZI028pHsEWqnrw4nRbpSkny67XuWBakm0JZCVca+57k0lWxjnjt2jEUPXdkk6
RCDWur6ANfwXIcO/nFkQGaDoUs/ruLuA/eMU8/OG0SIIltFgKzcxzLjr3iUFVcG26gG3TPRTNmwD
7G9YO1TVbyOiO7/rYbD6xjjHX9K6mgiA0MJj04vm0W4M2JFxLqhi6qfJXSef0ioQJ/JbsoGixUsH
sLCc7/5UhWHsCar0gDAZjMuLSruZREvTSvjpyoIg9wjJeOJzXM3bwTAhH9VIjY4oz6hbzR4xNOQw
uLHpNEwXDFuX649lW6eUlUmCxVrbMPBTa3ChKnfEk6MUtO7IeR9LZWkYdifAn0RcYEmo46D8Wops
11QtmhqmyBJNppTWzpjxVA0yKplLRzTVXyWZayto/Md5tT5+IGvHFg4qBTQK9rq1f7gyxobJVrS0
4Y3W1sDAPfgGRWKj3KaLyydQU00wlOqUu3ROaA5MLB7qc8wm4mnnEDY7ezp7UOJF0IBDZEP9kg00
lp7bjDCPa7UNn3FX48MQKKgeGsJitn9+9vy7DwAexNuyANih6fyyfkrK4laNI/smt8BvSc2bLpo6
QilqhSjGupJzJmxGzgvN4oiB1akEjPJrqILCPFNHOHrsPSbY2oyb62SrMMMnxlxaLcNtkzvhXW43
dAhxGaFo+/P3/nEf//LwMRkGcNI0KDPGr+99LNqE5nU0bypp0tuMXRe+s5pDZ09Dkj+oS7Kcp1M3
Xeb2UO76Ym0NNEJxDk6dDMeqYLw8ulp7yM3VWQKA/K63Cnfnjgb4ZdvI8nJxuuRka3z+sXCRNvXd
2L2D3NZ8RQlioZAuXCyLM0CfW6YraYxZubNh4zBJxKdo0sDqeynDRy1W0z3Ef+eIkwdsBKYlW3qT
CMVWPD0T3bDs2nEID8kcI3crbXw1ek2bvhL8y3mFzSGwbFdrarDoNSTcKntVsfDpYr0ELMnq+pDj
zvpc2mx1agJyktatF+IQ/KUNlRi3PZyKrkg1owWdWu0GIsQsGXQyo3e1Jv4i6m7ZptCRnll5w1e4
5+sJsj4abJCOkoS0c0MsPD4Dk7ybOmmFN2tFdgeDD22oAU3nyS7SN70qoERG8XTIRq1Di4iQFmW1
doqnsQMIyKcLRjDcJX++ECgSf92GjI+oGdbgho9y8JeygbMaogTx2yB9ag/LEpd8eCvr2ZyPU7Ob
Q/pDG6Z+4kHwjLaUYvUL/lQIrFXOpCAqsCkizxb4O82PoHCIA+dCJJk/KGlSAJeU277BlcpjJ4nX
eRT5Pcd//6qNxvBVJrahbKCyFfami7H6wZqxzM+HsjcDsigxS5yMkikNjVWYb3MV9qrnLgXQRaRM
m3mp7cNkFPcT1gSopeOOQB1FS3bg/8q1zsYiN0QK+aUxuVZYXzFRnLCVJnXpdga7Fq0rVpcejrt8
M2PSP2KouWd8M8wbouGAVfT5Ua1roP4K2jHvJy5QmbAhGA2xWFMNCybLcew3ckyLTTsM2bFSU/AB
N0dgi81Os1saLa7OtQnDGR85QfzAPZA8dKjHAaXqUWfQkBTpYwfLe2GG01jRHsswgaGkzmngdXEd
I4+x1RtlGNcCp52qo3CYQCldgYXKsmYl6DFEn36K4UV0MuPIy6uOB4XpC38Oe8k2gAC8hL5jdYax
yeFi3EVR3x1CYXDrLGqqv8Y6Drg+NLo6O1NI6qL8cefrqE8qJViA214LcnQiv28K2Fec7MJXMNY9
ReaYHcmIyyD+Y0Z5hptDXPkmPkdParUkDutJLtdpybTFU3E8u2mpLfeYTrr0l7hfvGtklB8cuSgB
cnvUtI4VqtB522UM4IkgS4DMAZDThigfW0yX8d6mykQt2W56+BuKZ9ah2CT6kr/DcrphUoZlvknZ
Gnpjhn4gR51/YdtYVGuFPSJQIoXc69x5uf7YSP+MRO7+PI10tez74cj5l8b2e4Lp/1Tv/+MDLhev
ycuPbe63n/8+B7fWppQUBAT7H0RY2sjvTFj7E474BNpRr/0yIGHaDcDkAtnq9AE42tNp/zEgwW9X
x7mfYAVb0/hPf2dAov18Vq6jGzzydVJ0uDEtff3kP5YsgIcZHnmT2GfT6nn6TkjEJRaBh9RxNhT/
+yIRxw7iNqv9SWVtpnr3F13eyi7+sWr6eAvr9ANGrmtoHNs/v4WKKJXawR5hX7WzuAiNpxljpm7I
grLYRpmGbrlv5IZOtPSw1z+v6yjdketcBqP2bEC3XGI4bkp0zpXkJZWDWUDm1Ta5HqsbqWGS5onI
WcE4xRP1GzZv/CUIiXiyIHdOoUeuf5wNwyO1/r5bql1SANQpwWy6ON6BuRJDbZ1g/RF4tgjwanyM
Ol3fiAwrUb18mJ3Ma1kT+wmlSaFzAWoYw+DNgh5zuTYosEnrg6aKmw8zTvhMvd4FXXaCkH/NMFYG
uEx4moKKw3KfVV0Jush+Qa8EYTdVPdfSfcPCj6BxPYHTnKzyzYBEmkHLzaRgOtyMbZDh2DP09WdG
+GKX5PKKjLYzWMOvSyT9PkWybo35zlpWG4G+zz1MFN6KCf+XLGWyMIvxrTSiTUTs16nsRhP+cu3X
VseLLTjQ65dRkUb+P4fLfwWbGYiQ/+x0OZRfkpdfPLy//cz3kavxyaas4f4F6Pomdv4+cXU+4VTn
siR0jpWfmDVMXG1ykaGoMKYFWVsHod8PFPsTboxi/THOmw8T079xoJA+9Mt2dlTOLH4bU13IYFCH
f97OUuviZIkn5RDqy7TRmzx/ASiGqyfh+NWUXIM24EE803xKKgA/i2ggrbgtzhcrxBxE5UiCoJsM
zBjV4nIJpxInjhTOQeRm2HrxU8VmQqmyLcql/FyYIAiC2eplm4xWT1Pa6ueLmtPcZmkRFfh0MHlL
LOcWP978pp3kcCmGl6JqQcy6OHvoB9E+E7m7Bh4MOaV3JurpBU5EMWEtolCwKXqkhZvJLfWJ3YuG
M6itJnvFW4fdrjNaAXnW2jAAmkNLMzVTh1ralefRjCUgnJNwMTZmS6BTkOPYpfuAWexsZl76rnEp
QVfZaHzSU3twAh29rY2NTM6+z7BbeqtBH58r2vkLiY+3jyNVdwZ7aHxziqF8pjcxc+xFo/ksGbPm
eq5TYmNjDacNoHYMDuR2kPB0LUnrOSXOiLXmVF2Z+lyh9XUgDVHajjYedEl24ejFdG3kuDjiEr6Z
O1IcGSzikcFJN5QS4MWYd6OW2Fcq1G9ym/TibYLzCZejcK7IganRzqX9Le7IHZdo1wUACzoWz0R5
4MKZlUezJ+YhhcV9hscGrKSlU5vjQE5F5onIpIBCpGefHFFopd8qc/6gF7W8lQZKoZTEAgKbskF9
SuwsfOqVejrUo4mRROkqp3EB/wfjIUUYcecatLKcyKyQj3k2141vukV7GsO2OYsdZ0AT5y4pnNxV
ktkRCXY5GGUeQJQuU249FysSbu7hPFcYRHAEy+ylmdM8iLqpMXcQZAnk0dKx+4zgGPHTyEC2Rk+o
R3C98Cvd07YmN3Gd6Y8aMd/X7mLyamB+7a2KS8pWNrFxpmrpILyY+e2egV/UeXNVb4jKafaYrQ83
EVJL38Iw/lkpo/YIadz9Oraj3W4tQcgf0Z2kqUCFb9wblzTwESQnqhCsRrp1heEiY/LBCVGhuHhh
vxl1pburnILmRsD8dYE6/aagZuZ7zO5HtYuv7Cntzjt1jo82jZobqMiKUXSVWKtbaOc2LNfqztEb
HHbaHla7gk/JSa0i45yRrKyCuCrqi7S0K2ZkY8Euf5pKNV1ltt9maRnCTyZr7rcBW1WqUU9IhDvM
qXXTEV4h8lP5LTkCLWQP0XyUoxcOiwhvMDPU52NsxljwjtaV6qQZRlv24qOPJnEaMO12ojUdgg4p
znMYujMsoXDIN7Y03A4DR63ysQY1b6U0JarRRO0x9ZsbPy6xfMEGdDr1phXvjCY1va7qVotZcqXd
kBrEIQPbb9kvN2E3Ce70YcjvJ6aPxcmSvUDSnXRL7m6MepHi1lg6cIgcYkFpwotqlP0o2wcjx2pA
yRw320ytPh70djgOUWmdV3Xd7ooeBXU+5cuulsV83VSOBsKbN2hmzOjgzF1+jbdce5OP6eQbWZps
Q93NAxQYRMLggFiE2EupTXyBCMWTcL+plxK8lo+0f/wmXWl20g6bwE20ZyuMYVqlyjFNNU8i9Wee
hx2NbimjPzWd8RDjOncIu7byVR7LFqlYd5kI49mVdbQZGb4FBKEo5ykernt8VyegPfFYqj3ZzBHe
Kdn8pe0GjIx5hmEvztJE62dfdTOxFV18P+kxIb1p9eDYs30onPoN6V8eMJu9EeCEmxDsPdLbS2tM
06u+KZ+MVYWizWewmSExiOr2/9k7kyW5jWzb/sq1N4cMDjjgwOBNou+yTyaZnMBSpIi+bxzA19+F
oFSXpFSUqcY1SclkyowIhMPh55y91x5iG4P/qLq1Nqd8ZWqwXTAWB0ztJDMeVCTS9eQW5AsNbQ2W
NAIPEIv21NjtGTc0YErfAwpmD3IjWkTZHNaUuVFoGU/gC5isM4qeX7F3tjdIwuXO1cw8WEZnl2/7
YoYNc1mjLx5N/PF7JsHG0lNkNU3lfDvBZQ5YP/SxibmpHupp8h/tuUEnSSZZ9oAZSt+5fvNZlaT2
pXEoznPu11tSjb18XTkjuRRDURv5ymP5PdPpDzfMzcpNPTrWdo5bUnndcLrNxjlAtiCad3PK+c5w
ZHtr+fGDg2idWyKNsL8P7W3eQIZqCMl4GrIgeHCsgCNuT5fUKU24n3xNfmDqTWrZ0Vs2Bm8R4OsH
q1L63hr98RxzyH10Y7946nWZrzvbPbXgBZD0sHQSw3zvtBDLHIMfEWoIvGy8UytVn/QIvMSjwF/P
/TjtmB35O07D2RdA1MUtRXDbz4wMOkkTpOlbecseY1wAXSjQGVFePzp0nTeILdKzrSDGOVi29/7Y
Rp9klnFv+WWLHyntH1mEGe5ZM7tPnMBZuYWrtvBYoSsJ817JVm46K6HZPdv2febZ/sboJ2BbWnx0
hsbd1vBInnJIV4jilfUeXUW9a4m/AiTFsSBbcS5w10KqAkCCBaiP8mkv0ImdjYG4WqfV06Hw4vHo
djwix3R2jwZSf/G1OvpvEf43RThdaMHJ8t/rEm9/0/9z+q1pf5u+rb1//7U/im+b4ttCfS4lWrcr
hP9fxbfzC91BG5z+MoIGLvevCTNHZSJjFFBeB6QQfopvjsqU5fw5SmYKKQkL6B/V3pzKfzgqI0JH
NuldE2/U4p74/qiMVxTfUu80B5+ZrE06ONbFiUS49BwFg3NmglIPTyHqh1NpxlF/RHbePUSVMeRU
boLM8aYZALoSDYBLKehtyMvc31Y1huuQ3ZmTx9Ca4NkK/Ed+nazn0dC3IQW/jcmQxJrRKpwPbjG8
ZYJGGX/qeYB089Qt45cWExjtMch1RUVHrXQzRDykuwPgWSaNvZY02b3EE48tXMdVV3XmB59EeRcd
CPt5UdBFaxusctfOulvxi9pV6M4cNd7mIycIQSjRYzBbFLqwLr+0VsPziJPKqFdDPjdHCEO0+eSY
Vm/2gAVr1vgNZ9ni9louVLqEuDYq+pXvH1UdoTvmSouhOTrMtr09clC/XCd5f5xh5a2V3fOLraNb
iwfGQp6juZ/774cE5dO6WEZKKu/mG7eiQ+dYi9PNRJrUaZxhg0Ezchae1sSoML9qY1xrOi7tfhWR
tgxuNI4tMHAtQ/km8folKS40XvueuSsitRxWZ2+LS+O1vrnXjqCbnmJn2wxhLz4010FEipmvX2V5
NN55VWZ8mSMN9gZb4SmNRtqlCAluK0ix++v7Y+7QHFnZzIYYKTVHC9QeZkPQIGvlqkLvFjfdvu8R
u5deRQ1fcpFbb8LNPA80UFUXW5fQEyTHrfouTfWFQUkUHYJMpPPBbbvG3kWOAk9ozzYEuCSgtVIY
zOswFx2HRiJPgk6/jGlDEgFA/7s7UU0eQNkU9Xvf5awFr0pPWN2oBMqFMQUJJd4uaK+nEr7JS2PY
2VNUNdNCAmovHhgLWD+DtwNz2bgbQpHtU+H04TmoZfQ+mRYHL3K1s1HxZSNfoq+adg5+YJjN66u9
2ZmttgAe4EviVWqsE8QCuAudfH6d0UbtcWj7+yyz7C/aBZO+Dpo8R0REkcrz2UpiLA2J2UW3KYQC
Z/b7rNq5pWvhwJMcF9A5DA3T5W0Xpu1jkDPPi2edrhm+xJu5M6E5uagE1wMwkEU7JXZNFtkvWe+l
+9wj5G6VugvHd+zi3NunwmyfeOJ8cLqsv+QOZyhvnLCwDbWOKHXQc2yHNLvJw4DTRStcdxd7dLul
sqo1iqviFAaepMhDQQxJMyvvW3fOH1rDdnd6mvJ7J5bi1IeFvxIgOhg8uPIwK7fbWr6cT5GsecCl
lrbXOnPsd6NwzZWTT3gZltH6So/4YCTh72vkpDGLSoPQAHM2bhdCB5l6QUJAo24N6MJ2e9NTz96N
yFzPhYH0s0M0s4UjSqPJVOj3VmGeBYsf15eXjMi9fqM5SX8YmCDdBEKEn6YmSeDPlcdm4qufK87J
BSGbGpNBCZ96SshPXJv8zttc+9z0BmKZ4hCWef1U+6Bnt3oQdMYixhD09Ir5HeAJczsnnIkHu2pO
s1mVL4YLjcKqFSJuCGUlzrywMo1tMc2iwrfcgdNERLzluA8wVrNRCIzSGm+t605nHVTlQzTOjJz5
/DYwr3lMjlVeqnbjztRn0CqitTG5S66f9lLSIpawQahmfU9/UpWEYRZVs24yK3p2FUXYeswgLlpN
npwHOnTTemjA5piJBQzcdoFiNP4w7iMzLNZ6yt+Im6yBZ0zWsQzI9cKKgiAuBSq6Qroz73w9JkyL
CrTra5QHzT2xmXDnFzNriV/xwXLpAmxatw9erztLnXbBF3/M0xNzlRZj48z043oXVS6b1sjJ6qXR
zEVcw2RbHRY8LaN8njBIw3EeM+SGxQV1lttBW4/CWV4IL9KI/rjlnXAgn2+0qQf6PUtM0y1P++kW
JHA5bcqFqtCCRLhpyJT7Ggz/3+PS3xyXOFguUbT//rh0/jN48euv/H5UAq/oMIoAhoHqTYLN/j+/
njCvXA6cCgwxiOVbJuu/G/YkJ5Y/2ogMOnwTkRZdSdcTiPf+0VxCMuH4diqwBHfTEWHsRoYuMMMf
DXp10HlZEo7uObcqT6w5lgmySIWeNHktrVFhuVIMAGkSpGCygtuymIRDpW4CRmBDJgn7KStr08hP
bevazbg1mHVLEE9BjyG3twd836rGTXWbRhIR2i5vBpjwt52ZxoyLJ0tpuZat4XYh2FXoGpdB1u2n
NIQaKGMVrIVlqLWMXLXLmORwKqihEFvz9GR4M2PEGQAPJjEffz5oMFIq5r0lGtjVxSgyZ520JjWF
wozXHrLa6+t7lG7pU1MH/mubzTZFXFv3C8F3SCpI9w0ZceXkf2CHlyUvQaDwdkSEEO8rurvosaYi
39pl7N2lOPqg0yskh36pP8YDzN6ZEmdX9hO6uCZqliapRaJNaUc4zcmQqPbpnGfHBADRR7d16g9W
a9M9JPnF/1T63qdsnG49syGHDTbddORHcDP0rn0XO7F58JnlIrVeOH20qfh/bL9+IGcxYjY5Team
0+GAVqBSPtkVfdngKQjwPGp2jQPinRyvet++MOsFcNhMej8TrvLgt9Z0MvxkaVDGxAgRPWrEByby
8WfWg/OQpMNAWBwHm7soL7z96LgoIMpR0OXriudoVvF+9vryvpylWg9jyAxXep11w0DIem+gWZQr
t7bsu1KGy3ApY/qllOKILWZ0X840bOIex7mwmNCgmQBkawTjzkY6fgAuybAMGcH80ZjyaufFGU/C
uJ6PhCrA3oQyfYxaUT0BuQxue6MuL6UR9vlezsZ0R9qHOwixGweOUdCD//gnbSA5RDeGYyE3xQ+f
Kxhf9UBkVnNKqjbUxYlWj87KjSJfKPF3FKXU2RxL2aA1IoV5i2RDmJ+u28R/d9S/3VHlUo/9ZEfl
SNJ/Sr8rP9n2ll/6Y1Kz2Nx8aksft/PV5/zHoMb/BZ/Lss1CuvcW7fO/dlTb/0UsQ1ATQBIqMmGy
D//fDos6lH2RCQ4HsuW3/sGgRlDGfrvBwlmifrVA49r4gxFN/VB82kA/Gs6U4WkQAaFDaArVgxbh
zBrHzxuTb3EazF8JDaLNXkvJaQzY9yMeh+7QqHzY27Wo97QaTfPraPDfOtOopv701vhwPImo3XH4
mz+OkMYWHlsKJuqoBqcq77Aam3fe7LLXs0k66QrX01MspCG3cUP6dEhz26iGdp0j9Qs+e0UhHlr8
qXWzrSaVq/dYZsPbKap1x4bditc8ijqSR0ERzTuQ3oa3IdDYMu/oEcN02Ui3M7yDToN5IzlrgyIX
mZbpuCmlSpt3EaGch3I0UOCufbwbj17QZpgSVEtvkvOnf/KaXizToGQ7UkWzu0dNv/W1Z9/Pwu3f
+SU8Xd3UGCnYwTMmYzqBLIvG6BHlLBkcA8wjEs4gyGOBS2kM7oYAmv2pIywi3cXDhNIm6W35UMAM
SnWod0UTvIxBaOzxMTYnqPiC8s9uPxEX29z5uTNu8DECvCtPVem2zwq44r3wx2mv2r47o94cTqMB
5yJWMztuxkjhtpb2dCnCaGegO+cc14vy0ZD+K34lXDBxW5ZE82Uw5IOAACizd/SNwQjiYe5TEu8U
bNqtjofxgs0HCGSIz2XqwRPOfqHQ8bgkqHqpIX9t2pxAMmrA1QhxmbLCNmP30fTS6pF2h03YiUc5
M8wKZbDdiPQG83Vrv0vChrkZQmfKn3orp8AiHCbTzxMzBISJZKGPOBip9/JiVxHyl65F4wI1t013
UdSJA+7vagtdnXSF5WyNPbQ8SsB5a1GH7gNXvT57LoHbCSr5U4jeFqik650iYeKyCwoz+4BytX0u
VZl8qbEsEhTVG9VT3cbzrV1Y48UeTPU5VJG7k0FXbxnFIbsH8LjOpoEE37ikOuW6y92MohLwZVpF
bynLHvVkM647Vhomx1A/mmrQtwgeSa7Sbb/NZOwzqQAf1BnAbSxN9tdcdDaS35wsInO2ViGlBEua
WMRgpweEauu5lu4HmlpybYwZz1LP77eOr8WbFVK35Mk0/UaZGNzUeSQ33jg2BwnTRqMdSNxXnsQ4
AQJ660fraqoprwab+Wq24QnM4A1LGCYc62rIQUeNOcdcfDpQu7Ds0Pc1niE3Mz0BK4OnZ3H3+JVT
OkgfTDInrvafnFicC0qL4kycB1cPAOCMQRQoTTsQGTNZDn0fL5Cfci21C+UWnxE8yuLik8DK5cPQ
uegrAuSQeJOsq03Jv1qWQs4bw364WpmsxdWkCjN2aIuV7jHtmnd+pOdf1TCPQH5aefQXbxSKY2xS
+CTLW3ZC/TpcbVRo87FU5Vd7VXq1WvFUxnZVLg6sIlB+v3GuxqzyatJieCmPKPOwbuW+h41LXC1d
09XehU1tOJZX0xeMbwxgyeIFc662sGFxiDGX1A9uM8ASmq8Wsqloszsk8RUzWI+6mIRp7GYNBw0c
m4sLzWU7OOd0GeIVqQj5Cweh+jHuiQUlNcayb5Du1hdyw+i9qWWQFy8jPXhVRrYRPam2uBfri3ud
/jXLIBBnZHMDOiAi80Gn70D0F8+4NMFNTlSTeYWfi+2ZzZdg3vRTEqKBW8XX2aMBeOKeGMHM+FDZ
IdPJcRlUWteZpbrOL8OqcRsMwYw1m9muT1MuNPbeiGH2Mv4UyyB0ZCI6G67RrMJlTGpeJ6YIcuQ5
8odkhy+3eXLsktlqINzoAY2T9b4c8vhREU4nDm3ThvegASvq+6kjQ40wrPZjiRyUxFGQes6+WYa6
wTLejWgsEEIpxuGmY7CO1kBoB1kQVmIaJVMXYaxZhsXO0PJyUD2GL+zvzF6NSO9q5bYfyYzjJULf
nC94D+1dMpHZ2KTWuK2XITV7w3hMlsH1sIywsYcyzR6WwXbKyAYNTrkMrebIWPvX6XeyDMLFdSau
JmuZj7eMyplJMTUf0EOdO0To168NIXF0zqkm6OXZfMhBqG0buZ8Sm+mO9iTcKIgWLww9q2NCsXDv
2xHWTWb3FtNfC6MICp/RIKI8YOufnewSTl7AYB/XjCKc1XWMERVlDtbEJL6tqmRyOzml2ksKB35h
Hq079NzMpPWiL3AWpYFl9RZpexNDxoYfMRSpj8miT2gsezxLpybGs8VN/SodqEzDomlIbYivTV6S
/cK55FeyKMpPrFIH+dNVEiGv8ghspdGFeHXaETxOm7PtLWoLB86uvSbaS8ktOTCT3DCF9e3d1GD3
3IxMZl/cpOuKbb3oNuRVwjFd5Rwh3o2AdNVF5tFdJR9epDS1NFBympmLKKRf9CHxohShKObrit4M
mQx3BkLTx8l0n9IxcPbJVWpiy4apdIEQ+4a0TsQoS9l+F5B5gzAiKj9Oi2qlW/QrCDr4voKrrMWw
k+Kj7dQ5fxPVi7XoX8yrFEYtqhivbsWlxXXJXbSoZsKrgIZzF2KajMxrbOzKSt+Er15bQ7gbZxJL
cljiV6cECYBacdcRNmUjRolAzAa62BrEpj7qyOxuCdeeHqQrYiboAzg0txVoWmhTGVif2sfQR8bG
oci5iZySjHTiAiwIwq5wNkzkmMNpGdsFrUPJuBxGzgZoKxPAZKx/9fwamDoBWP6JWZxeDpiO1aBp
K/3tJOYOG7BuZlJVXFUy0+vdC13jmRA59GtEVhnzAiVLkuFSixkntmYfSdZNIV1cdX7SvLcSNRkP
sKBJ5up56OOxKWfoM6wB1Ipl5p6GpFlcquBe6kMKz33cjDqIAh6tkvNXmdne0zgSHV/WymhXMpnc
s9ekeHUj3672HhOP5KaJpnQE+qNytA3e+NLg8HtEe6E+1oGX7EsXMcQqxU32SQrQ7x6+gWJftw0K
PSPMTWCfYuaRUeOFRVdYiXvMQREg4ir278JeVV/8wpTxOjNDomO9JDPXeMyh9dq9a25GhCJ2d3a9
ySrd/+rvqMcIOvmbso7mlPhpo+wWD1v0P+s3sBHx9zK833/1j9mi8ws2JVeh63UWGe5Sw/1R3slf
bItS0DS/Su0WssbvDTObqBIPhZyHTdW2rurdf5V39i8eQlwkeFR45sJS+SflnTIXf+o3fhhCaxCa
wlKh8vSwhCm6dt8qexVCNKQoLeEgHRzYFSKMSG04UdZ6Yw2NP267oTJLAqs5oh4DYovwlluFT3jW
THd2TbJAQr9jpkm8LZ0yrA9GVgpiMquhyOFbRHb7OY8d7zIFkTxWZSduSwdzaCd7wFOTldQY/lx7
aagEVDtJZvAgzZjt5bPvXfwoKF/ZZavXypyDBoRkG3OTF8K7QJiSb4TxiFsGdESFQuh13cXg7VV7
K2NLRDxrLL9iB8SUoIeZ7vGB+i+M2HhhTVMfzHbrjY/h6PgveSxQ6CeWfQzSHOuRXYH2uoPBl5an
0mlKj6Qn1X5uPVMQSZtjPRBRYawFT7R4XUmsfxP5jj2He5+PUfkS96llhQ2ATls8MyR23pQ1jvdl
afQHe4jsdzOyuvvCLmlH2WYJRTdvxW1o1Xz+SoXBS+Jm/Om6jisakH5CNHblz+1nyCpcgUKW1nPc
ZtUrmAlzWI12w/8mR1Ge89Jx3iaQFWRIhbwBR2jerSZw8t5EoPicBEiwKJ8IIGD0NfKpZcpreiA/
XrPE5LP7mTOT/aFN+9aV5B4WkYpu7dRILt4QCPbjmPzMIB6OHKFTYmAUv6OM5XoScZaE6G4Ihdmw
rvkvX79Q9i2I6mEc+C9Wv3zDw9SP93ylbfvBncppvOgqwFAMJjQhgaUl8ezBABxerUoitfDqDjDM
V16bZfPayXqui4baBSxrNEj10pM0nLUyVBjv6y6nXQjANTLfM6KS9i7Lidqh8zV/iYKeK4FA23+Z
Mv2I+sjZQV0g95YIeBLVGUk8qAFaHdT92lhXIreeC8kCpNJYVi0qu11K7iVRGNidw9UcWPz83SG0
LKLOtLFgu4SMMjodWA1Wg0wMjmlHKg1TSfvoSdHLm0ypjhxbZIKPGGyzaBMMZCyslK66z4QX6XBr
dpW4jZDtaURHI18wkTqmtfL8EAtqmlTFdCoSP43XqU/pSn/TYb3Rg/QvZeUzwyN83j4atG/tBTLL
+47nPp4JCAjGR3ByRYCbNWfFBLRUP4+j5CUxh/PdDcs6mXC1voLKx8+KCv2Yo4Z7Rf/FH+tqE48R
nZqtkkW8pzbxoZqK6pVGRPByXcKxobi+aVuey+VmT5ZFGrjD+KjtnkuirXC6H/G03uezVZ5llBQk
nLrSf8HLwIXrysoGqZl5LJhemeU5IxyAFbDcEsxa4/0SE1Cvp6jnyzbZOGIR168kGjeH2qmwdbq4
lZ+lLoMXIzF5RlZggBhN1xiAs0Zxc7r0x7cgZ2KyIh1oPjrO+ThmLI8xJihkrHRjuR9MkwVm2Nzk
eMS4PkEjxfNgdXxqc2HmSayRR0WWwkWXmX+Za1JIV1088RdKDPlYmghbAtavOObdJ/WAohVDwMR+
Gs7+xswqdXCdBsFbhnnfqUdjY2ss1AC2Uz6vPTa0a2YMd9GWoQB3GDNA3tBss2PlVqmjx6kdq5sw
6f1tPNWM4Cfu5dRnewZ+ZPhbCmX+Drlm8ghqhpTEji3DNAPx3DlVzxUkaf6xYqFjb4zS+jU1g/rg
k/qx5wxqPSubNY+5Wwc7ishmfmp935GHsWeLxHLkX8Y0ZUUZPtEnG86B4jnA01idwlI5QOOKnJCC
PEhILjTneN9LK53Xg+ZbyuJAvrWxxdYsgok1xYSaBc6ggq8VSIvzZmpK0zWyUPFc95N4ThySlzZp
A7t3hbiP9SLaDoVhwSrVSFfcVe7W4hZOuHjOQRg15DBWYbAdCDTgThRZOZ1k0vDnrTBoP4cpZrs4
cljdPi/BoMR/IQxWJGdZ9c2hx6xX765rXlqSXzI7PvOaIoifvXLFbR8P/ouDxoXPaS7b3qBF3T0M
eO3GHf5c9jfc7XRWIntZj/7Ueuuq9vwXw575Ir9uaUkrYjoHSrOUnIBOIFaatjbo5EucGnQUxL10
ubsy4mfILtFcXjsbd9c7Duq3fKH7OgoKZqeJdtedtSwj4e41vYwXwWm7eNFhOKXvHW2zT9Db4I2K
Qcd7eFDOGz0wf0sySA7HvbfWXlh8xv3oH5sKQs7Kq83l4RyE7MDgLcStngkpW2WcH/q1h1ZEoEWP
ChHdWVM0Hdh+7FyTb0WEIDYYQnOB6pazf86LFp2ppYKRYqGN/exhTrLfEjNeYizIzw1feJQ2BzyP
OV9RYXLXgIRhr+WeJPOPLaZcGZqWzppsGfdzWeQvZSiakx+MPUCqydMj5xC7eQbpdiz95UFEunz2
HE9hdeYZ490LKFngG5vB3oEmBJYmRHfrmHZ5JgIvXBTx0btY1bjUCfP5WENHN6yyvrQARNZNp9am
SrgH0MtS2IL+7aZjG/UVGfV+kwf3ZiRLEow6GBH9rqraemegMrqnJ7ZKcvUYWBLJxuRm9JVhTeYw
KIUoc3ZVRmQAehEx2CYVcGVWaIFci/gQ1SKLWLm1TNZg+/ODoM0Y0S2pPDyxqb1LC0TXKwWFDuCR
JpQ5SsnMVnoCtlNUZGhO7pSpg8+yhNjU9osuFgLFmUHnfOeNnTq1ic9jjuyYQ0w1jwJBi3dSDOWN
YbrFXTyn3klZAatXQOF3caZuQy+pFlPUiKAzVf25GWFVKTukbGkNZ3zLZJm8o4H+jtq7zi4ZAuGH
Oo2oHzskqzDUQNB7gz18aRHv/hp5CD5aLNS4pIS1rcmLJ/Z1asiCT/yDOYCLm8Yu3yL7HeEzyQTN
rt0mNx4QhYkgmN79nHResZt7HfAcj81tGOt3sIiqXRqrZq8C/RGo+RpYh/oVaMX0GDlTQWu+tnZ2
SneNJObmoTW5rK5fuHBW8vETFKhnA9fySmgkvV4cwWKYGYOWdDZ2JSHM+8Af1AVRkdyGdftcL0i2
VeNyMtq2eV3edHPAFkUq89oBob4FqIEDOm/EyWobeOeIUcko6uWlpIuMFHcs0O3UKChcZFM0vbyt
QYo5gapEsLBC0ns05hvFqdOYU3HHQ4A8FkkeaQit/pg1Nv5UJK92YRcHy2ibvbc8IeyJDt8Y+v3B
oUm8oq9mgMsaScSsGv8GSM1DH+fWpisK8zFFgAYqNeveAXYyLownUZIbnuL3NGfXXzviIziXgFU6
dYAxSAXuyg+gHzqOd33OnDbJrfQZNwtiam0bt6ZL4hVPXrVJPbnrFWHXSZnmR20q9Wak+YfRWLRE
gmD59dA07Q4srSxXk2IqiTK635sBgmTHS+s1mz+hU07Gg4iAy+NQOJ8rMN5bqyP9SVQmiTFhIY5T
0thvATCuehOU7fiBE/GW03XDSTA2i82Umum2o5/9HNTsKOz8Tb6NS4H0J7bUwWyht+YR8xja1hNf
Wib0JeoNSAyV3Scg7lrXa7h2nWM+DjrNxDZ0smZaxABoeh7jAJrpSiS5zA5qbgfYt+kY7qLEqjez
JyqCyQdo62EUQNwpQzvYd25ksDE1sXvw0l6/GGlreTz2AosudS8waFcdFUhUb5XbEE/Ucl/Edqdf
ANVkxxn88IoI+3Q3z92MiGmJjktUvHOtzHynw9Fjidtw141T7CwHPzbSnLG879vhJaxzIua69r0B
u++cN96NmxbtmodX8JTTh/vg69aF0kft0p3Sup7i961b9eYRW7LfnQxaKwszz2aYjBqjr/U2EQsH
kShuO7gL6JVzmmXix2gGY+VrUGds6kGSaIgHhp6IJKRlSvsW33gCkH9tZZKU27A1TI0C1TF7+9XD
wk0SZE93Ze3FHowDxGROfq7Nhv9OqMIsNqaTdx6rx/KbLe1Dfxs1EactCOscRNxB8myK6yqbTqaY
x8fJ0uKZs2iGJxIUQ0QLtvobhIC91Mbf187U8/QeoQ8xaXXQ+X5fOxMuRvZkHR0qN+SBGSKiyohL
0rohPwMMbVs8VYQyy+NU8hTdjHbZpqdBWsNjLwcIdtGg/RcTTwNs5etjWnScqo2YMx1RipwmYojC
2ywolyPFUnoWvpk1G8iTFG+pwqR2s7B2Pn89I8c5MJyejCyuyVSNj9AcsJyhXB3vl8fKG24f/0LE
HZqvlaMqDmTfzLXvv37u/yn6/L5EP9z+//9n/UmnDMEbPKILjYuOhi9/sPRFwqjjCawMrVmHr8Qq
GUicPILM6nUx8u5Zh8ALLW8wngoL3j/hMBFvayIz7gm+NVcrtAWHJWc2CLvPJP/KxeIn4VUYba7V
qm1VfD5NHPd46XGdxYcypCBfx6oawm041M1hnnJe3bHw9W3cdBpa4Ml2/vnnH/YKXf3+u3eUEo5a
8oFMJdTimP4G4jL4YWzYhpcdimBAf+yTXtmuIzetOOrAm+AjV3mxdce2fstlOj3WHR2GOqICjwE3
P+ZF/TeXX/zVajSxerq2VGAIru/4m3dkOLUx9zztERcvuADXcMfHjkbSS0tjhotgLEWrtqz2sxQA
G6uBqqDQZUP4KuzGeN221VI5UY78/FItX/v3VwqxNjoC+kxEucofx/R9FGRxBezwEJQ+qzcv0W6/
n+Xctx9wxcz1TmKvaACaOhlyXZ1yRv35G/iL70qiEFtaXSjFeBeLxuGbK6MjFySD1YUHh6gY0uGL
Now3vS8Ci7TZNgqpyYJqH9txFJ67ihRMnJttcBsWnXj2zF7cyjKl+Pr5u/qLy4KxwHZQL+C0pfn+
/Zsq7J78x0SGi7iJWnbkkIzFqaR0IxwpW6O9pkDo85kaAld69frzV7/uTT98K7w8bGVvgfhA2P/h
5Se8McUwc02mjI5BIuqJdndbe3nCFxJNDuEbjATs55SYwqNYqtRCImk6o2+rAFO6E+LNlZl2YXTo
lkZTVYdF8gU+J6V+YXMeub7h/wqM/q4TbTqSO/3fC4xu3tr27VPUt791XfudyeXrb/7eiHZ9TCke
XW2087ZCMMRN8Hsjmqw1AhOITEPm4y7CTTrffyg3rV+guNhf888Wfzmr+HedEQYYy8bBvagvf+dS
/AOd0Y9taLrdirgp24H3SB/a/+FugDfjGmllVAdUcl+iMvT3hgfJhJGg/pv77q9eiS2bzAkFakP8
KfukkIWcR8ErkdhAQ6H6WBXluGLm0//NjvxXr8RrIFBFcP9nNCSDbk5/CDawh2CNDnrzrh1Qsbj1
/PLNF/4XT96/eCEwlJYkcNzlY/24vw0qI6m1mavD1KZf0iz9QrH/JeGf/8nLODzdFd/4n74jTrBz
S9+kOgQG3QPfq2soPSQ4poCk//mlY61yhIBhoDzx48kKzX0uy4hPNAQ4skeTOOKA1v6lYYv5+Yda
zmjf7oMsPHZAlLV8T4su74dngxow1nCCrQ6R1ikOnOlxCscXYUwv1wfkz1/sxz3/+mII9ogwsgiv
X4ZB3z6IDGya3JsleOd6SZEC03VIvJqekBG/md7CKJSNvcJ01f0n11PaDoMeDmjuj7cXFUVPo7mo
2KXj8qmnF7JyfCOlR8q//fwzLhfsTxeUWRe7AhY47urvPyNpuP0U4/I+GITnHfK+mraI5oKnn7/K
Xy35ZaL2x6uwZX17JUmKJm+JhvDB8EfnjBTqZciRviJw+48u3Tev9MPOBEUpKgeSPFAV99PGHZO3
mfM459O/u73EcmW+u3JEYTIrRNRJeg3sjmX1fHNMAQYTJNJoidt1acU7WNVW3QhSRdvyQx0rAwJA
hWk4iayd09CgYqh8+pur+qdxIBcO+T7nAiSp0rLUDyu0JF3Gy8sqP1S4OehMDQBUp6ob72eZT3jd
TXLs/UagonOcgwmTa5Nk2L3tWhYnOqCuu9YljVFvxHLclIX+pKI4X1/nEUueA62B9MvEgPMYzqAy
KwV6vqlmerjY8Go65/wviDfyrQkMjoYCNFXFgPKBzpH1PlVWeXRwT38cckBlOh8JR1H0Tcqp8Pc6
4ZZK1eiGa9rm2KPTYsQ8R+z7sevoRvWEvGw7SxVPnZHIk+nP+lMd8KARnct7dwWvksjyrL2WlLBI
eVG5nWSGtjVFbhO3vB/A5fItD/jQKRydXQk1lxnhXNIlkI67ZtSIgUn0GfmHtd35RLTBhq3NYNwm
NZhRWN8G+Yx8ujln78wT/OmqKyxEc+xvURhTL7g8hQqFlLMjpBiCvS/sk6ThsqcHX54FYKGNl9Pu
9xh6rtEcWu/DaPGAhiL5GHpl9uJq/Hh1yzSvdnPrfcBnX0ZLzGiqXBKa7QYD441IkTaD1mJiuxld
SblgyCZ7oV8HLBXA2gMVRPcx4NKco6Su7tw++WLS4F335Cu8B4L4haDj4Klz55Iez/LuWyY+U2aV
KY42k0LD8VF63CcxRUgyMlzhodKRe5fH+yEk6I6TCEamzOqLUxxyTMZzHsa3IaDCu8QNiy/opMSt
KMG0khjhFBvL0MRNXu+8jERCzFqBd/lf9s6rt3Fr7cK/iAE3O29FdVmWy7jeEB6PzbJZNnv59d9D
zynJBCf5zv0JECDAxCNZIrnfstazYoePjLhofs2OBAeiDia6fRV987CLJqvITSQh6MsyuSJLHqwv
HWHWIgAJyrl2sl1SGLo6i65X/trBS/sch4r62xA9TWeBZY+5gl7UV1qZzE8eLPxvYyHzT3osUHQy
mjZFy8NbJ49ib6XCfyy5ub+ZSDPSgNUOtsMaG4Fc+eBqy21HlsUV+GaCDX2I8mQaj9KG9qgihtyR
1AI9dejVqprbbuEm0vtyys6QCHYt9323srNBxY9tQVbJrvOK9M0f0N8AEunPiGNgxyV+n+0ahp93
A7aw57me5Y5dT5ttB602yFdWpj1jeGPKxjg+GjoWtlJ8n33V/DDYxh3IK2cLmw1289CTsPASpZZ9
+sLu4sTlzdadZh4dlCjImIeE9bfkm7BjQtQrVuVHlMXFph5JfWW8+In40CdG0TGPvBGxFVE+rbWp
YaUZ506MvxhtAXpff5cCPGDGy+nbAXMPYtZmazv2w3sYPZ1cx8yBPwrl23vSs5ZFUeygnRPds2om
5OVAVui+oU1i/PWKI0ojepDFEqG1etCIbOfX0Ufb1XAam/G+qIx9W/bfmagmx7xwwHqFyjlxGru3
ccdNKQreli6y/ty3NWMYyX2OIYT9m3LlE5O9+aT74zafXVR886jaIB+IO0Dcs8z022xx59VsN0mP
mdYFk8SLSV27rTTuetkxb+x7xai2gTg91zzd8qHtd2I5+pXF723k6RsbJO9CtKUNb6Hxbs1+0UxE
TLPIsTWPgIl4NR6or4vUINCzqVz3Bb++3czcRrlX+Ze26Ib3RquBsUYNz5zYkt6tcOCKWjqYJZsH
ZV3z/GAk6d7OCbRFo66ndYgqiVGd2Xm3YSnrKzF0S97tUux1fl3tMpJFwfKkPMQIclg7Ay9NBFO9
JyiwDQwhhvfYLhbHHzkfZONwBWOjJMv7Yqq23MaD6fEl5OrSVEtpX7L/zYTiYhoq1rmrXBAo7vLp
oBMY1rmDOP7rqTvEyUsrPfGhAzhZ9cs1YjMPvJZhm1ynNmPXfkLn6g4UM7jKW/s6jextY2E+7csl
nddc+uu2xHU7O+UDqw//MrvEWGEVrQMO3CHo+IbRa+rsJyNOg289+0Psw0VxDOcOw2zHs0eLeHoM
Pjc9yR185ojRtib6S1Kn+uTaDA39uy9QyfcaqCVZdhdPNtm+cQCMs4H2d7kfaee2Ti5mYvbPWpo2
l2mM2zMm2adEN4cncB4eyQ5sJ61Z2KA04XAWMXo/pdXhTSZf3KrOmQnHn2UURgFMpwfu58e616O9
4UGrjKO8ChAhqIs1NQbatSna8XD/rtnQ6AyXQ+9rP6wlcfZYFTx564Injp574luiw0wOZr5S9fMh
61gNkbZ8B1vaP8xzzggh1bMKdLfZ2O1zw7bqXRH7K0PEihj5xifcBcMBD7OUPrPiEkn9PBCRjkRk
qHSfFBQXFjBr3HqNf5mxeKbMJF8BFm9xFYdDla9Ubjw0uZEfh8rMj+ifAcyVXlcdUX52607kk5Gt
meeXrnOaBmPMZw6frOb5B+EyvKuMIRkA7qUxvJWkz+MjwywTpZ6Rh713tPquLFboeBFBBbQDdees
Zr922UulMQlr+NU+lO0g7Uki6KosQwSm2iUnFH2pvql+pod6rpwIL67b9gaSCMO+1Op8HANehOlb
xbXFUq8Tfc6zp3n12EK0QTlm90Nqjih7hMNIlvreWiQNU38sMiBFidK/W163V2lKPOqEPcQCmIIq
gvuLB0d/i2BdOwu0COm6deGNkQ007bhPDUKRUwCzHQLPvVGBHxir8E3GhL26IEo2hl5iuHUr8UwY
HkmwnNFsbiPiSgvL6NAQA/G65naN3qPMFd1KAqZeZS5J5uiwtEMyYr7ZulHO8w0hAQ/9iOqEhg2X
z2AhE1orfuE92wwUVt5k938ztzP/VOQvBbEwTNvBnMjo4pdiVC3jMM/q5D7Oc+sIqyf/LE1cK6sB
4IIOYteitAKtxcdGTGN7vYj3V4J854sSlFVJnb9xcBVHz8AOPhm0OsjHGBZnU2efLCNhpFWn9ZV0
mLKjJGfb/UWnj0LuQXOkU4JEkIf3pqVbb+gEGAFiiyfiRMMDNYWCx204jdmjniTp69czkNUayrhh
lkb8N13Vn2aYkPoImFgIfDYjTKxdf2wOIMZGVtfo2b6imFg7xoAEPeowS3g1NVNLmX09mVrMun2m
xlrCucicMWw2vzk0POH/Xd/867D/6/0wsBEuAyNmD7/2zURS8Dzg/dS5eOz06URWRLUaXKiFBG2F
+OW3f92bLF/2r90RsEJeCY3y4iH+5QOwejuPBpXt+4qClLAjtrUFiQBFEX/Rd8vDX7/en0Lh+A0F
3BWfhAXMb6b3SyNLfFUhLSQwPFyrAWUGKd3g6operVMurFZDoSyhFF+IMB1uvo5gPPRIMGI2T9sY
+U0QSuQs5Vz1u7Ghxvnr9/enPhuLH+BEm3eJ5NT4dazeTs7gKNRPe59+e2djqjopa/i7e/BPEwte
hUGF4QCSBHPz6y3YJV0fOkWZ7B2LytWJeGoUymmDyoCyuHIkTJcppXIHLtM///UvaPy5H6Y+QM8P
+UYgRv+1F52EtPo6G+I9wvAoxE+L2EqD2/aad9SlTTnY08XXEN4V1vQo/an6JBhl2LRTb8NrLosY
H1lUo7yu4GuYm6glpd3CS7Gn+PWv0rJoflQhrsbDEh7yP3LpP2J7/m5eLdho/O6L/hMXmdU1bnUe
tCr5w7T658/90xPr/Sb0JdiH73+ZCTv8lf+YVvvit59DaoPj4p96af7zn/ZX/TeBXVbQRGGcdeAm
/Tf66F8vfw4z4jHoTV2IBSQ18DZ+P5LpdBRNbR9HB6Jv57Oe19POTBeBpwVmhpU06S/vVOTV+xK7
8DfDGMf79ZHHDIVgSs4RxzR9pru/vHqCtRspRyNJcSnnM0TReasZDXltc67okdpY37fkXcAFFu1S
V5Afbq360iiuCGCfHsAe0NGUUUN6UCmdBYom2BcHMjTGmzohqgNvhHqZFSQkA7w7e9hTmMDv2BSN
gn8iAB35UEjQr/jobKcYyNI1OZn9h5sCPAyqBB1STch9s0pZS95V2uQGdRoSUzGwcp9d3q8iU4hw
A+QwpT0uW0kw91e8TUBEWExANvnFvOUBDMuF5vIwdRPMUye2NGaVGTrbrr4X1OB4JhYV7moCIuT+
6CMzgmDju5rxqPfI1DZ5F40wrZjU2C+x7lNEs4b32/hUtqbknB4YCww3FYw+ACWRN0TXWDpjb1uS
YxTdDZHuIMSUOcllCX4Mb2s0fauvtVg37YOwlv8zErHvPo+1VMUOsYuzijSZgJMje0EGoWjcaC0G
D30mXTGuVagu6L1YQXBuRN8RE0WX3p3KDUoGfHeNO4ECJVjQe547HGObQgzjZigqd9c58xqly7gq
9b5+t9Oqv3a9VIdPqUfmHt6roGNjNDeEzCvq7HbJc9zlda6fWZ1nzIW2qu69NOgzpzrVObYz9nU3
VQw90m6Vq1PikG2nTX542zvT+CCVLZ91/CsrNyO20rS7kt2jtD+0Ap2L17TMsnyEMNBT/S2av+TQ
Yj5/STHzrYY45kh06+IAALA9WiFnpRAZgQqpvO1HlEYIwyM3oAEgYGYADVhiuPUnjMV1XyMe9Zvv
dinCu3wxHYxwOg8ychj+DW1+cvUMALay8iCek+yh7MkrqDQR76Kx9N+dSBIDQ0JwetNrTvUW9VSS
wahAg/uTByyX1EftiLqbn8LKp9/WjYJKW7F7MY3sW6opMJdOBNjfsOT74lV6dDxuKnQY1jbMQuKr
JMZrpxrzQ20OH2HYeG8z45KNrxa/Nc+E9q2em006J/VexAM4KTWwHI3tS0bjtzX7mULeoZbc15El
kScK5xyWrnghu8W7FvC3GCoM+FxRGB44wfwAdn/zrenK6GIOdkmQUW6eBqjr1xk2s30eKfuWghsB
aq/S56qI0xe+0Ww3jp15gsGd7buigFMyW9m7oo0NYVdF7jGpzfmmstv+Km8pg/NECRKUlOfeTWmb
kwOOLHWrmWNy9pgGQqHVSeIbuCX22UgOyEp5SXIsnMi8dB7k7742kydcukts6TToZyX75IxxuvpG
AMNwTwiPOpqSQRARY/5LaU0pHarTnlq79Elz7Nz0iPlqNrYij3FsIw46KEZ0u3bWo7We+h5Czd7+
hL1Y7SgJpqcxNeQ68rVDIVV+aO3wnCECXjPxA+TmIzbGhHEwfHWabH0ivoRgcml1Pzpivkg5KbL9
kqC0KrCgQnxseqzvhbs1Yn1czyOxXCq0u5NeDQl8Fho7p7CG27S0Kyoab4I135m3Ifrj544Z4Lsd
iv6WDyS8YDrtniCQiGVMR1Ji07brMh/T/cCOfIf5kSypvCuxwyYILPjauVu0odr6rlQ/THAxu9kj
Nn01ouvdjM5orbDhtDeu6Glc+hwZVGrgXvQa2/icDdRLK7x+HZcyPSFYnm9qlP2ZQfmN6lv/2iiN
6NnwuP9nfNXbEXRVv9KnRD87idTPfiv9a63Mjdtp7DsOimbCKVAuw7GMoJuqY/MvuFGPXRfRv1o+
/Vw4tOMhkSICBZAW68hzGGd2ZnHuqnZFX8CjhjnPCV5WejQqS9w7U24bqKW1MGgqZ3qP02EkExYV
PD7jJk33DcO/7xL65qin8shZ4m/CqjRe065PDhnu5l2FC++bqFMchW5LWmg70et21YzlFQjrQ1N0
/vVou/O5Z6r1psqOTBSmTndZUlYA9cvGJdxtmH4A7koniOEVM8PCHo547Ppd2Ij+mqGeeTQyo4DG
UlWPA7Owm9GewvVk9fPOTMb4lpNNvTh+V3732sL9nBKJYNVpm4i5bfRjkGO6sZLZJ15EbQemE6cJ
EMWajXsbaLBzZOBrjXbwhEyxGTZZ/6YYsOBXBqMGqhmXxTGLreox7Aqghy44Ac/OkzCwgdV9FpaA
Lur31RMaR8fZWGWUfzejyNsVCETOnQi9U+8VNOnEEx9i36P4l0x6JoPzDWBOm123ls4I3cubsxSQ
/DqvKY9VqTFnanHlpJa0rweijYgTLLonYhXZvChE9EFjaWS/N+bQ3eJM8a5wZE4f6L0XQVuXcFyz
n4lO2dBqZBjazgvdMY8eqZVAHwl1KZaHtmKgMofhptW98rLwJK8TPSx4LLGtkR4xqSACbW/ntuXX
NTEAs8T0waxIgN1hquO9SX1WaOjNN3pdJMlRARoxipqV0EcTGKxv8RicjJupQkYbhcV5+QKPVWaK
HSJSZlNFsgYGZJwZ6KUEENKd1HEB3ScyzAfXa/vN6GrZtqpKe6c5aYG83TE3ABxAK8sEWnVpqsM0
682ta0fWO6iyDHduq+Z1N/T+vbBRGeOeN7bwMsQ3VlGxFeSasm5kWBFtZvSjf5tFhYsMn0MWB9WV
F9bDQui29DOi+nNrOeQQt4a3EYlWfTD2NFpGPoO/B/7g7l0tVUGTgWIowqm5UXOmbhYw+Z6dnwGL
wi6C2WbwPgyzP+9CUbtP1ALGtxG0HmMghB+fXq51LzlQ6G0o1bNdZe4GYfUttIiGeIsSZxEiZ69h
XDRAxU7blCmZqrWDA5INPCg5zoubq5rfE7SNLPiTcDga3bi2S463SXoRl6bVbPNU2jchtelWJBzW
HVlR6XbwSKFdm9VM/THyEL42o65as9J4LPQ6v/RDj808nHVrx3lXEPDGeB8bwLTViK3eGyS2XVDa
kRumu8kLBZrTBFoKbbCawn2Hwwg9rUQ47goAHwcUwtDJWcXeDKXqAWFZI1xuLEOUr30zbcDiD3dO
Df9jQMh0cPSpuLSSjDQylRywoYbv/qDwjTe0hAY0fx4rYGApprEvj8WqNfThvofi8aDLMnuwDGpA
K2pmC9JwVV2UbP3TLB2qlcgOD7qr8MBHOm76lSw5wRgnEszV9fWMJNtMj2m74CeSXiQdJaZf7vPK
iJoPkyUgbPWVbCfhqZVZeVcgXQGAt159hHBc3TpaY55JApyu/aoWa0xf9Lbo2o9xAcopovB/nh3v
lKJ0jhzGn52RXBfYWfgtrWMuXfFK0pSxQuGXBVWI5H3l5s6zmHvjMGlugXkFzGvVac1GmfMbRubv
bJpvPWXN7K16Z8lMQkteJXpQtsWw002NKT0T7pEW4ZRkIt/AX3vgayHCgIEQBE/wFia+oZWWJQDz
E0zutvUiGiuEYdWCeQRIiFTeI+4sz/hg8sGHaMrcmSB6DH8Yy45RXJnbooPyGeF085L+Ek+W8WjW
RSYDb8S/iFeh3iLKJNZFG2cGLZ25nssJWJmV71xSA1Zzkpovk2aMaNdnFUDW2Pmh7V5GB8iLcgp5
Lrj83rTG3RiuHX7L28bZKxZgR9to9DNc/QTyKnC32as55kirOCTK9bZT086BQuYWTBakIZa00XWh
ZZzsMp0uts4vl3rZJpnbnD5B1W3wBbX9Xcd883Pq9Xup7Z/bUjhRJrIsy3SJ2TJ/GYzGoYVgs/OS
Q5oTWrfSRgLX6tnjKW130rm39IKOlFoKJn2ny/Vfv/ivU9mfYbcGqkF0s4h0fnlxwrxrZ5pVchBj
Wb/PaV1c4caP2Xf48u6vX+rXGRcvhdWZf5fu18Oj/Mf2O6mS1BnjnJdSRlUABPAmIiJgH3/89ev8
abq6vJCFt5KBA3BC9Nx/fCGAk5NVSzc6dBhRt6wgrYPTEXmdFUl7U9US5XTvx3rCl56/YUakox5m
otC1MF6a6zDm3X29pf/pHf9mfrSMthkE/me9433Z/Qfn/T9+9J/Oe+83m7/KRW3FFuEPXDXzN1YK
i+SRBuLnn/xrjvSbgY7f9rDEO5bB6PHfcyXollDbbOSTDiqdhff938gdvxRXvx9n47jXbYSB/J1c
33gt/njFcfBLlg8JmXw9yMqNH0tzCIoCalNcVDCFC8NCCRKl3q1Pxhv2rqRIrgcH7UmfEU6yrtky
YeZOzCeniacbEMTFfd844SvXON5qjjyFNWe296pexLhMke1TQob0mrqMVegwSidftxpxHqvYdH0q
lUyDaixKBD8ZI/9jN1dZtan8BDZTPU2DwNzuxHRNfVp8NnnHtsT1J2srtca6kFQ53kieS9TAY69t
9AqlQB1CmyTkwiYuRTNjIz70nBoMqCbnbLDTVEFr4FPuctM8DiyvQT5h3QFCVPUves6bWpMC2n7w
KnSstVX4AhFl0SAeQcXGHMfJUCQttuoxLBzGWk5LLGMCW3if6J7vbvBa5Z8JX/ge8P9449AKRBsC
PsMfs2MzGZO4vZ7UjOkHYcrYPFnKJid20OWdL4lTDpeM7KELi2+qoZ5twZRPp7EaI3tt4ZqBy4JI
CFdkTjpjoIslJmOOlXc7St5X5Sg+yFSEIfETZhKOkEPGZdk+q1cRed5NmOEWgXNW62Id+px6azyZ
JdvWHFDNzP5RsSiXovJvbM6e+ColhHzf8Plt+7LyrzInIWIxjhfXkm9sx7inZ6NML++xDHq3Gt7J
a4RLecA0BJUB6osgD6lZWexjdJ74djiewU51bnlhcYMl40vg5bipODJuHwJMPJ21TmzDbvazlrf8
zsLckplbfR+QL73UoBaelD5ZZuDPCL8CGwL9D6Hl3gZyBtAyj93p7ajw2fFs9e+NOoluR0ARIGDG
WoOe3puvRggehtwzaJbrNtaGNw//YSAb4V8pZboRJYUe0SqmRYLSq2rnA7Rydp9J2GlXBh6rIRgM
F6KpjgGKMoUyuD2w/rQHQhlVd8eY2JZXsTliymRrx3KwdpyHQkzWOf5pPzK/vEjeT2OS8+VSisYv
yxIb+mExMH25maYvZ1O1mJwWtSiZMGrxPskvHxRhyYspynM9xoT1l1kqJFO4PbZfLqqsWhxVhmrw
Utn8Q5T0Yrpy4fDdT0PdBIYMz26e96dkMWmx8b9mihFdESmIgyv9aecyfpq7GE66xdpdTF82BDx8
/fjC9MUSFi7mMH2xibWmnh2qORoek9ZIwLvG5RkTfMUwrb0jHyleJ5nCdUaKp/AYmcbDo+OEkbPn
9ta+FYtZDYIRC3r6CTKhOC8VmfIY25zF4qa1RoPbreA97Cc9wQXXd0a3ntpxPGmenh7oyu012KS7
cvau2rQhJBA4WeB75XgckrTbuGOSbayWVWUFxmnQLO2HDZyvysKaCnXejZ5Id9BcmfYqpgDNNN7D
aojWRKrvaOvsR1EvRPuu61bz1JWXwdNh7ZgG5HUST7QG42JkMQ8gz4SiEmvWFsNH0KR2cYJM1Xyk
k3sN/y584Vwf9uNQZfeF03uXtC+bgNH0zHC/6W9ERyrX0l9ACGCGbTkzjDdv2mUWnX4cM+JjQcU6
XeOnhKTvT+oaEpn05pcyhPOHD/cyq/qM+DsMlAGXUEL72FUhlWsKMPtc1yFBL80S+teU38HhVbsi
Ed4mCadwi60rpQm0m6AURrWfyxITd98TyQOqBKEdht/OjV7LxGjWjKYhQbi4XA3GFquM9voJVOSw
B6HWPqQYsLgwBm0X1eNnt+jekMtMm7ZGUtQLI3w1pY1cEu4TRU9qoVDXgIIeOqcc5N7MWbUVrMa3
vl8zv0etBku4k9YRaBRdgIaCqFOxv0vmRQuaN8kOMWTOVeHM7jUTH2bAGEWSdONVSXvnN1X46Fc2
t6ydhxt2OjGTeK/6jtqulKuZfLFnhUl0iyivXoWJ4W3zBiVlOfcIGIdQf0LOpbGsBz1TDsV8XXio
iKZqQGls5otYqivOjTNqFwQZjy6OMz0QPu5sOjfnujawba4YuEtxtFHWXvky93wEPNi1sjbp3EAa
wJFXRBPD9BzyicwXHN49LgIEPjT4mHGYaWkKl55bhkwyEIUdtTrKcG9GHePpTntsld48ccUVFWjg
QZ10QpmcMC1vx7nVr81UFmuvXcrLjMvAIoRhJPV4FLG1N/DTrnoGMQdCX9MPs7HyD0zEuNggCSBm
akNCF2ucN8fC5cQO0qmy146diIcy7vq72Jfej9Hroo3y6SOr0HjV/O4TsFX07BgOo7SpQBJn2Q8F
+hIsyw1keVP2q17wnJunKnyIams3mukrIpl3RBP2bi6tFtAJiRFmMj1P/eSv26w01q5bv1V5RnyY
qR/InpCbWhjqIwqZLMlUI+IHu+i+R95ZBgZJaxtC+8RNhs2UnfkgbwvhXBdRW1yR4NFtUKcwUieW
PiGwKa4HtWlEPl8TvBZuVN786NL4G3NPSinqi2Q2Ie+bPcZbMBtrO9SNivwyHq7AOJdipiIG26oZ
rXLKbeIiTN4MKb9phlOuTZRIr7Hh4hpMPPejFvVd14vPkEEHY0q8x5r7UoA5WDMvT5hu6e7Rn4iI
U3pHRr1ZvZQR8ylSH44Dsdg8O5XakMUk117Um/t0nPKD2asDuQJ45R3xkAyTvMq45ldEzqGBrBt/
Z6RgdJWe7uo+U8eyHe+tOW62Yl5Cr3o7QMk6/8CvbxGmBMA29MYe9fHMZx3mJrDMqeg3tkMyAaDH
fDt2hMzVmvceErEBLCB80YHhXfABYHz17NtKoAwy7HdUVeIABYY2H+D4SRV9eeoq48PNB9YEArKR
rOJ1x1sCatQMe08hiGssBTu3QlzXewSfUbG4dzgjIiKvh3TLqHe8GIUb3tRheaz50sus3iWxfg3U
lTGJq7hEkTaup3g01sTai2tTpQ+jVM5dOEI6I3nM7sCzF+VdF7N2gq+3cnss+Q4qMosjHQpl45BH
MD+2kESWYrMSxQVdGOq3wT8Zqvy0k2hfGawxYk2/AOa8LOu1LG5JRmjcVary1zpj5jE347eh6W6U
aC/wJ89UaxgenXnivgcWME0dS7y+i4IJPtLK9hZInW0mNjML9C9XBTm3V05eFTg8a5LGAJmC8M3n
G6Mmf+p/jd//C7kmXA/C839u/M5l0f4SeWr8/Jl/dHwoBn5DMOLARlucJwil/iUaQDtG+4aEyqQZ
1Bl4sUr/p8XN/w2KNn9kOCTBw/D/d89nQWhb/N2uSZOAd8H6r8IKoLTR0/2u59NtBxUbIxMYhh45
nr96jRRp4WCQp/jiKkUzk2k5FIkhNuzArnAq791SmsUWSlWMmDgxwfsYqIjgIcQ/mtCbS1bXxBwE
nh5X4yGeq7xg9u4673ONGz4vEo/otlxNV2Ul6+wpma3qqmxm/UdqRiMRL52kWqP9dad1rsHF3yUa
eli3bV3j0FR+D9zZTOrhXDMe28StZAqK4HICbOrIs2JGE1ATtSt70q70blJwipUXBSItZmNdTfUr
hSDEYgjUB6sf2cVNxD590Id3NoTUyNr6HtMS6LmFDdjDiZNz1pfDgQ2Du9fqjgClMk/Viv3cCExH
40EJG6U0/KehANYQwwSmh4nK5V1Nc/o02o0KYEqpdYcXPPYFe9h0ZjQs1oNE1bMmAzllw+aatc0Q
v2BOw4SZcnsmQWEWK755PmV97gTc2sQGETQ3N40aUuc0YKJ85xOZThJdawhB2FHzoa2tRrNObh1x
3KU1pAgIw6Pa1R4m/w0cjeFcphZdFScTuw6hF1uHJV+PitSK45bzgfVSWY0ApZDzuyc2/wUBo4Fo
INKx/Y8l5xwSQ8o0oz+IXAq/Z+Hi46EgAlMQHi4Pkae5riJAgpFqbxrirqE8vskqXxt/+IWr0k8y
Y5vPiUNxMK+NorFzcY+GUWydNnFxgSs3dJ/VkHGe4cbvrwbGsUen6BQfVC1Bf05Zlx4SC+zpps7k
LcCaeqOD46HblcOlmTIWi+gduSxHWa4n3PjYYoQ4krYJKobImu2cJHIny/giEigErdNZCTiMzFgn
PsuYIKva6Oh5rUtuhsmnHRjwR/es6AkBy8zJPuSjXnPGzs1baajs3WgrGk9fNg7FT7Vs9j0QyKuo
BQCyKhpfHBswGSvLjLKlOE7F3iq6V5zVMLQpX+wb4iEQapSWil6pb/QTroZ8i3dI24EFpZni5c7o
KtSOeJvxtihbsYsH6aUXWJ0u1hEPo4Q0dHliOVChfEUbsvYgUB/6QbevE5TjgEjbzLpyvHQ+Fuw3
VnNKdqLs4jfeY4q8Jcf4lEXXTtyw8egs5wosSvNM2RS+ArHwt2Rd9TuVmtZGVqQ2waBSD2kzX9Nm
2bfLlX1BYUIApW5iEaoEMBd3WnGOt4FnKptdpjKIQDOV/lmKSb+UtoyeI5XMp7qyhquyR8TYZM6S
aepEQGh7uQsTnFdhtTg/8C/slFP79xEcvZWD2PPKky48PP1SmGkFWS90rvC/24x5iSpFuD482RUI
MnBA43A1Jqbxktvgx9jSziWD0Uw37xzGV2zmG/NTw0lFMCSfxlbOtOf4Ud6JkPGDOkFTsaQtklku
e8e6V+YA8sdw+/Ld8oi2tHHH6yiXavt7m9N2FH7T8Hco7YAgwsC9pFBlUrIcBt0pjxKfWEAjn27C
PgVJWUTenrgP+IAUO96qw7m3Ba4EJ9vt2uQk/Lj7xoJPBhmfz7dmrG65rMs7z5iufEhsgS1Df6+5
THTYTFTu0aP98REAZxTZThHf+JmXYE8tix8AZ/x1pk+Eu6kcc99mKi2wNro4hE561wJcOUzI0NeS
q/teaLjrWMFNBrtbMwyGdn6gbRZQj+zIBdJbMbjJep7snW6+llmEewkwDVBaYaVYFhz7Bb2pvzax
otyVIzFnllsPTzJuGP6baXk2MiWbVe+O79pIqdgbZvsZyUFja1PNmzKLm90IquHZKGZiswWE2X70
5pupsMutAFlNTVOrE64P/Z5F2yzZ5tey2pZlE9GvVfqbByZtbVF43uFWxKM2sUEK4rTTVhbbqM9x
RjpS9IX7YhrtrK1nLq3NzCMniFFmMheK4mFdlDz5vWHJtvF6poGMKwLuSJMVmzAeogo5hwdZ+1j6
tbqpBNUY6EFKw8mPpw8oOu293UdEFVYE0q0bfYJeFIsG1cJYAUIULLdmZpZdYBnVR57DvmdX4a9M
2yjPRL2lgWZW9dVclMNtRtggW3uffGLDBhc3JXF4MDGjn2Nmemua7/SVcQDgTEiGZ1d5070+iIZu
iqC2O8sf233vIZUoxzBhFR5aQ9DHiX6peyWfcpbmT5FX1DcFSOVHJcPk1DFCJO7Kmx9EbU2bWC+Z
djBa3ISADVF5wIVeW/y2bMRpi9pDkdH74mXrHixQshMwsKZYa4z6Ase2yk2lx/pNhfzM3LgedXjB
QAVTkhymk51O+TKWALPllZbJ59gOz9boku3bx84O+jlr05SRy1EkwnlHea1rQRkWyU3UksrjpLr/
NM3M/3Rr5qD3Cr2DEBE1UIcS6Vy5SDy/0fDV0UqDPylXhM2BhwfKdkVmcL1Fu0WX/r/i+P9VHLMi
oGT9z8XxknN6/hiT9/IPotqfP/av+tik1LVIygJJQDWrs077h6gW4sJvOts8NLcoypetyL/qY9Pl
h0ym7R7Vtusui49/aW0FBGN0a8BVMO8aAuLPf7MT+WXbpyPqt9i94JUFpQRN8peVSEXxNA9ARK5q
o0umN4vDu4F75rYWkUW+RkqhOdRDOu0TQEq5diihptr1Ykgp9iAD9R278ulHjegArLau7GBMp34+
jfh0Pqo6c9eJ4zr1/H/sncd23VaahV+lXwBaAA5iDxFuZLiMojTBoigJOYcD4On7g2RXy7LLYe6a
qJZs+gYCOH/Y+9stwMHYop4ANAw79oHd7srUZJtjMqT9XCBOJJJvidlHkh66Zol7q6bKYN9NNcMC
ARtm6JrlQXzzmltyGtQPhZBFygzFUBDndgSyVOUpdba0bMdWkIVwPGJTjlcgYcmVxcSgcR4YQ6y1
zJivClxyWmkMjFyRpJT9Y8/GVwsdRLWF+p5giWEd91UzOTquIrWs1DOy/3wMV7V9S8C/7ey2WS6m
XlSEKS8y40etRVnhWqCjuP73Bvx7NyAVy5/egN+A4MFrXg+vv70Fv/3gL7egC9ibm2tjhWFsMPTf
5OfRvdJ+uqrOqps//v8WNL61qCA3DEulE4W48p9b0DDfwa1QuT1VRmrs5P9Zi2rTcf/QohqsxTZJ
gdBRumygj+2h86PgnWSphvGprV+t0GXidZ/22xSONoxAk6W/VgYD4m9pI4uaHMTJHgqF9QMQY4vs
vZQwjalRriLGuuFCQvkuXtrat+u1v67j6pCwszzhpbED1PPWuR4r5aFFar6xu5XzkDpbS1VaDxPo
x6fMcYcKnnemEKfdEo3SU4patDuQNPEW6ZCx0aRNkdhnLfx+3jenqhkfiOW7tkTZnfDqE0fURndy
bW+JqQjwMqlbf6wd2h4vi2M5OQ5666QZEWrS3A2SuP08muQHjllDStTUkSQgquUaGW0cSvTggC+5
4YjebIteCSHcASuAers3N/lhFet7LOLVeyJbMnYtW+BrYYSIaG+7nAkoHm8Uw/oAktouIcKaTcd0
3eL1S2pSvimCyCvHheEyEk1CEF1QatoKy1onRbhetjq2mbCnZiQkuarf9vlKWlBK/qjuwo9TG4ad
POLBbFPFy3KcWbQWPQHy9nWigeADD3hPaAj+mMjeuyV2QwPLdYQW0lugx9CMxWqgRyr8uUzzzWR5
RjNM4CidTUhJOQQD5SrjR4ZknalYYeGMn8qeQnSey1ODMPzckDzqC1rZerWRdJGMy16nClCkKF4K
Tc1jTXhwI/c0LLXqOznJFOkaKc+LgPMK2dOkvqTaFuM873QjdtEoEiOoQ8l6tMnnPfaaMzF5RkXb
z5qJRl8B3zirBtp0ZIymg9t1tOhr6exDFx5CMzfGuVWovquo9BHUtMHYd9ITsCUTMdoe2RNtUBRK
mGftY91bz868XmW6tL2YfmSnVNBFNXVNmPOXr6uZfczawdhnNYsqmRGQobqZcsIJ9YXEPqyZk2sG
XBOPpDB7luSScLr4zq0zvP8x0a0wKDEGx0AdHI3Mor5QkRaax1bPtI8Lll9c8/15VvJPzMvncE6c
JsxSTjuzYnm7rpWDooprIa2yll1YYxySlR4L5sGMC5y/y7XuRemHcoNgRAF15OT39dLiLuc3WGMw
2VkkZe8ikT11uhVfV2pS7oTzabNqn+bYbn2zsZTHwtDK3mcXaAR2kab35cRKtuqJ/mWfvOyJpOge
1Q2tgQ0nv19txwj6fr3uh67YMQSQISW5tVtzsn9MXbVDgixj1HSKekk5fEN1zcsQqwIhI6RYBcxF
MkRfmXXU2H74aexMzKtjdN6TfmZFOwYKp/wTq0i+RScSgQ5l1rdIHAlMTB2Ms7ZBrpmpT5hqMTcQ
bcKd264bP8P23ZFBDz1M9ZArYkGvOKonbehZo7iQNsDIK3kSWo0jEdyVxH0WZKoIIEo73up4ZSsk
ooNkvcL/hoY7t25g8H5KJ4uquQLKObX4f0eHPDR75ftsAMofbLwPjO7Ur6zTHJq22jw1E+6azBoe
VARbaGGtk0PspGd05rYXakMJjjhM8Fh4qyyswDDI3NRb941G+T5lugOk/VKgFib2N9VYjCpfSmNd
dkVHez/YV6nk3+/tai+tZcPEVhWWXaXzSxwPwRKBP0xs4Xiakb62YAS82AHmXevzwZ5w8BU5BYp0
xsHXVGcJyRtjVI/Y2Fdjq7tedHs3lvqr2yLNc1DUIU3vzQdS5mJyMMECLOjSudXoKNsvUw8p2V7J
sjS7TOzVgqkQk5p8lxX6FCJj7T3ylRo89KVzSARjikL/aFn9VRYb2bE352dHMrO3GXfh0BXWcVTT
6tF1p/dshiVeY/uLlaBMmKJtTRQXj7o2nm1j6G4aRz+ldVd65GIV4PUtD73ppUjw+EcicXwEm1+7
blSZQKFCNNex3hvGyFTKJHuPuL/iaiEnbG/MnUMPTdtfYGbvRfIR8YT7uBj4AIpKO69WNu4mfWl3
hM6C2nV4xWpdH1tUjpeejijTOIRmAkC9XDLfRTxf7LrRND21NB+2UILAGtqUdWV/jDsE28xgFQZZ
BNmwsVCDpGytD0U+v8hoHA/2Yn+G2kTKQVwku1Ef5H6uZmUHvR/GbTlh+i2mixrb7NENY3vj8rpp
e4JrTGbEZXRfZ2sdSivd4WSW7GON4qglyvvRbTI2lfNnwdSIZ+E4Hp1p7XjWpF24RBE6gHlOT0TO
yX2s8JSTDvEKY+eUCDV0hsarMHexLcWOSYPwZ6PR9rGdvZdTah5XxXlchv7c5y0RIEr8VSiNfSqq
ItqIv2zWG9ZgpEKhfzZKlYAbFmU1WWBMzOpo18GpCqSzrKL6VMADHZ4MxmsYjRh7tm7Frl5JURDP
+Fhq+TxEU2lvDazVZ4XXcvWVzm1kdsC8PDsBOM9NVmel2Qs2RDXSW99uCLB/EiN8QtrVZelYEodm
X/P0zr2WGUWae5UemffCIAq9+1BPuP7AJIipt/HE1/izTa/KilRJkCESptZ1/5bXX/5WeW1gs/yz
8vo2L16Tuvxtaf39h34trY13bFyYzOOOx69t/gA4pD6mh7Uwg9r6tzaVSv5Xxd/W3f4gBPzVRSre
ofIzTdBwxmYipeL+J52t+dPmh/aaCl3HzMk70IT2M9qr4wytZotoNoOlaSCMgvNpGnYCovGdmeBg
P5rgQVCd04vSdXbWqDzB6c/oRi2dsf0MOwo8fFm6abRHZQDznrlpcXZiN80uA2roj1OX2h/MFZZV
wnPnPMhMD0C8dQGZHWl50uco31m4tKlTsuoqa1qFaB0gU9eA8pt1Xy7cxpJFf7wmerMjR6xzP0zp
IpwD+yY4F0O7WC+TnEfnQsqiDZ58U6XpNd25oKWtfGhYTvo6DUryMpIoVGKeqvN41zDztq7gaCdE
ZCtFyQ4fTXKazF5JEpyQN9hhtmBt51vKNjnzfNxkJiqRoHqAXNEBYbYgmLtk9khMd8X4gPE/gz9X
N5mxs9y4cb4nfEcF3yci+6UcUWhFOOcp5Sfklb72LfFYfo8/zpPUBDsOAtuk46548OR+ORJBtnjW
CFKd/EhdKXnKcFiwV3ZW3E0Bzg9SRwEQxWC9uxg9j52DYsN2l32G/b70Zu4PeFNMROM1g0AgjVO8
10l9627sclCOqmQKqLLqgDmiYEglvNXL+qQ6Jooy7WOz0alRLDA4oleJ/NMqeUecrLmz3GZ5ZbGT
hyxtCvRJC/qtmqiBySnzK2bSYl8jFDmStjLu82rCndVWtYWUoNge7ESsjkm+K8sK9YOVxLem7gJx
SQqiXo04Z9JoCoqTuD70K5bQrpQl4hUFl0geoUxalam5LTLrKa/L+A5WS3+RyWTf0RBMH5LSmXHm
aWjPm2S+43qoCaio02cKYIA1er0wlm4U3ZfjOAE5I0JPaql9Q1Bv9AzWSRzmxFKITIy2CgZN4G6y
O3EVWVGxVzKEHpSYtE7PhGdg7IgK66m1tOqBjRe6KxjYMZR/+IWzz3rKnv0amPCxorS1PHfoy3Ck
ZjpKFJZ7WeTxs2hqcXYJiMUAAybgEVwwzaTTdFFGi9IVXzVpWIUn7JXQBEIsIItBsPYWBmaYpVFk
dtJ8zFo76LPRgFcmZpIXcShjoklXiEdRN063RC7pZ22e64NhAJEfMjQo4Fn67i4prOq56+dqP0V2
80nqyXut7SZ/KBznxG+6DJeGQL6lb5zrFcbOXYSu91RRkzzGmlhfRsJDyp0rZ/0tqzv1TKqrzTne
Cvski9ndGVnzZXLb6KCZ5NSyWoIQjoroAVHQ+IKls3i/IMN6L+SQbutmJ3/fMlFjVcodZilDtwdy
rYeuLYddChFL1mzm4LwVe1ZYy23lVuZJzr0rkd8TQOTxs8qtlnFgriYjMo+ZR3qpomwmILiZO7+O
c1hNGq70xHQg36SD0geG0i5hLcfGlxHrI76XgYVHkfixotIQ9/JUq24VsCbRnw1bEUg1uqd07R6y
RrE/zybrc8rNSYVfLgUSO71ZaQ0h8BBsuURX6kDHb6E4DOw0PrpGb1+jr2y5Ncb+YWVnFEBlq9+s
UXW8Rq71hVJv/QQaDnCJphSz55botWLK0ac4MUzfaguduMqyXYJ1deNrxjnjh8FU2F6QHUJQmOoT
z0Avl83dCT10/ErNmH4pJEPAfmqv9DGSiFnkHCTTyMIFIPtBKDAtvRmX4pU+b37j3JK9N9AfcccZ
aGc0ooB2Xa2R+wgDpb7Ls74Hrz9ogODHWbuZ+hRIF4lVKpVhSYbiQU+G+b6WBsy6PJbiAZ2Y8ymX
JcpF8B2k1jhb2AvyteUewBuxD0QqvI6Emp1dAIUWRfkWvca2ab7EWoVmcnSSHmsyljUbe+XjAiP7
xiZXYiFgVZDzIkhCwBiWHOvSIQqiwZZxpWh6fQP3IecSNXGQq/Nby5l3r9GVHGMAGz7/UWj/WdQf
YRq4e7IZ5ivEpOk2unHejLozv9aK8TltWv1Ks6eexVKLAo8Ux7CFaM5Nzk6GBaFz7YocUa9a41PO
1rdk03+1KmHCxjw/1Wr3MG/uQEfrEgSUSN9TetldqmnmXsW3iSKqq0PF0llaIXTuDzGy9yKf4h0d
QUTv02mMXE3a/NhUd9zvbxmt932rgwlLiCx+jG2NJ0jSNdClaGVRcZrFNS722DeBwyBiAcelyHmB
dVBaw95gg37HlVsGsIHkJQXA8JkwUgIQ9EYrKHsM5zkmxvPEO1wCnWWlX5sMh+jMzPJSRoq5K/Sl
PmrVgLsW33Ww9Gp6hejQBqZQ1fthnMfAQNT4gcVdEhQOkKvJzj8OvfYpa5scA5O+Xk2yjOH9kbB5
MRxQW1Vf4zIrE91fxNx/1cSUh6O2jA8ZG8aQ2r8L69jJYd+BkBKdEj1QQPc3lmoPe+kySVl6ttJT
nAkNCzyiTM/QmWopXaIcJRkxqUGcRyU/dapRfGxniQJTOvnn0rG1EIMlv1fH+Zg4xZcO3+VRKBz3
qp3nCO/4f/i0XG9BkXNAEageVbIAAgIC9R3xW9oVC+Dszc0ck2cnpK/BxA9r9FFxlw0F5l44Frtm
yNrjSEESjm3hHgTW4J09U3kpNOR76ExorcsapkUxMwEaNEUJVGJI/Lmpp1DYffU2mDL1ee+P6Rhr
/rgk1kFOokVif70aWCsqoyRst0F6X2vmW6s2dyNMRmR+VeajJEFBrSqoXpQXLTVY1UOq3KX5SoVR
sB/O1frGbro7W+33KGL3K+M6esQceFlS3cMjzk8AP2Li2hmHtUx+PUCXRI4lyQkhIHpmo7gWpaIg
p8U5X1ije8BnT2qKANyZVxdSRpIdOanpxnJjT1gsd+40agEJpAAiB5zww9pU4Lxq2sZk1PbVJEiM
VWxxqwyz7vFstx8HAFmHNYtIODK1L1gHlZB2ufRSAmBwo5CLPJHZwnkgxjvJoPstLRfCSxQuPwzB
B2ueKsyLbN7dAdHGZI6ar7rNeJzLzj1kTHy9OF2dUzksd0VqfjQi++nfVcXf6qWwNP1pL3X5UlWb
UOe1Sn/bT33/wV/6Kdt4Byfa0TAYsvtDr0ZP88u20FHfmRuTydXRDSOz2+x0v6rp9Hf8leWoCPG+
t2H/WVUI9x2BGXRTmqOBrtrkb/+gp9Kt3+GhbMNgL6mpumGj7/tZTVeUooeDozIgtat8AQ9Yp9Tp
xaZ7AtELoJzBqqBlAgO3k4OFykTvu+7IE01Td2vLJtFPChUnStsPsOwShshE6ubxGHTuW8Mpeist
aznTGKmBkXL2Iv92MNaWSg/2Aw8J0oaCGbYiek0JGXyRpsUZTxVFjM8K8ESvKfiW7rRkbXJDaIrK
3bGuT5GukERmkFEadq7aZCF9b/tAQuZcHdQW6XagQaZ8XTNhVcyQGH97tSUsaAINmBwG+1EwJtUh
tdf0i6Jp8ZtclfR65mdezKXORro+17jCwLrBiO1eRWILoocT3oyJSMIedSEEozhPmGVu0xoC5SR7
lixwKP1I5dHi1cMEwVnSL2Z2nE2ca4i8Zp7hntJZm+GpBAvqNpGKxcIUT07H16wpNvlOI1yNjRWC
BdsmVELX2zgkCtn1jNTQ8Hi55WVQhLWDG1zeQcKpL9nodLcJGYDYN1SkT/TPjZ85a+TnMoHTQfrK
4DN7uq5sWJLhYlsUjkB4VtwRpvqejfVwNdbGS2/Gw4PW95Wzd7rILQAGZ3EDgsPJ9xXciue5yPUd
ievOnnDAbGOBRtE1uR5psAiVBrCG72SaU39vW7WThThizJNABPO1V1BDGqV2b0+X0i2qoJcGaJJY
vRjjhtJhlipuKJHGD1s38NSVYr6dcJv4bmmFykZGNcscnUuCIVhUc3EiBCW6YghX3ZlUrNe5ob9P
aT0CUo7yYIFAD2Igjh5gFLahpZjlQaoYnmtt8PM8y+6BOqm3+LXtICK48xhb9T7PhBOWBrPRZATQ
Ha11Cf9oqqNDhud5N1pl/pVUojctcpVdbZBp6iVDod1zkcdeP8/tsV+10iPWEaGMY0qUSrrBBsG8
q7nafAb951pFF106rRUoSf8CYtDErGEruwRyDopQh3dJNoAfjzGbplFLT8WUKC+GjaW2wcZ+bxZN
c72gtT3hmSOSTEmWsNOQthdGR7rs1HLdcNlKaNSLvm9ggHsjALcgUw3a88ZiOeRoRIsscjC9KU4h
Y+wtkOSx9uRExZxCzdAkQ2pTWw0LSq1M4sS5R5+J7M1fFNcZH3QdX9iDySbDNDyThDrtWUMUmIWq
maVnq1PtO2hfUfJ+NtZy8EYNsvmucmHze7jtFl4fzqtLyvZ7l15S9YpMo3/rmDB3oYFv0nyZXVFl
R7npEryCyQCfhvhLo9p3BJNND1OaGvJhyNOR8i6OlUzc5EKdsg95PnRrhbMyr+yVhgmC8tJY7hpM
vT7zZBvTOP5QgiUFO59omPzBbpRcnqwF1XAGtRgnQEvnbUYvF0BUjK8dJ2xLMeTxYRkc4wPkUzm8
2bkLnOoD35E7Tl4xDvUpHSpBv1tF+SD4w4ryY6bWJqOoRB2H6LHC9Ln4ait0hJoDBhpuLG3+1+v8
96aemJP/VFRwn9Sfv/zPsS9eq8+/ERV8/8FfT2rtHbZ1osRJ5bD078qBX05qW3vnuOi2XO5RznHz
x3Oan0Cxs0WXoQTaYHq/zD4JdtEMU93088w2/skZ/d3F/IPinSQB6ARkrfAeeF/iZ35e28VjV7rg
LhSKai9bkpqBBFU8oZIueXy6+SLLabouFNTk2di8FLG5jcpg/9QjrIdyTfKgYbxF/VpWbMHUZ/w+
8EyJK8x4kkknWBmGHjuCBX0DnsWOXDAJNcm+aQo42fqsXbJZdq+uKK8tSdWsSPJtmygYOhPglixN
BmWjg3Uw/TqqY3rDVsvyW7tBelARSKAqzkqsnS69VF3PtateLA0DstvJ13oG0mbm7EwM4GndAHd8
g/mWAi68XTs3tsDcSCwZQc/VVzeHVaNN+F7MhMNw3BGIe41c9mJky5kdDjPFTCFUNX2lisBIA3/F
pAsoJu0N2PFLu/Q72pXC78pEvI9a45B2DllZKuDauo9Wr1JAig3iJZ+KVxs49k6N5b3a5dfbNzBw
CjJoKL5mzRZnjIRgJzZsuABdTkg4CyTILI+xkPfbkNp3WA4fcc28UQGQjoAxjSDZcz4CiF+3THJF
9nwxquobZnrSE+Jj53x+tBgvyMZ4SUR+iufitWsz0KfmjZ0IZgzgpLF85t/w7PWwXIyC39Uihh1K
T6DdRn5il43ZZkhoTXWmRnrNF6UnGOLY6ACcwm8dpjmZBSMe9vMANTyMle27TMpX+laKo01hNfBE
9LfXamDUh1BsLrJXL4Mu92Oynr9h1pVJPTd2DV4/T74KVFuhqaXXeT6fqRrNg1MjpshSPmFtLM9r
BPm9GKyCzaFQgrznhabUySgWjfWqA33F0PG5MzB4Jeb8WOJ8nZcKH3/SDcRSwsKdGL0U+vzm1Ot5
0uOUB3iX3uSt/ZLO6ienFbeuTInLBRm76MNhNYkgbufpcYVdlSLw5kIVh5g9l6eoDvKBYeJkgtNI
inUSSsnvE3mQOLlQZEIMhgx/9RICWq8+V7H25jLuI4+9Y7GAOp6pymPbjY/GXHwtVQhZyKaxSZTz
o4iAvOQpRCumtqh1LSXxNS1lNrN971plMbM1Xuq2ynb4ZW4a07DpL/k5PifDehauUlgvkAAX+j4u
R46Im4aR1scsor62s2QJGCFMd2JDWhczcHXkLlhk3WE6tBsHGyDTdOxLyznOk6LcIjQoQhZy5W2l
NAu0pWI6lUmLVVopxNug9R+XqbOuNIe4Pa6aOkU80zFrzgK3bAWIg1W+RjYebDIq0SbtM6OtnvMq
ei5nZuzBavQuvHlmT3MS3RhV/pEZJ/7cuUB2wXG3ijRohqULmVElWtCBmGCpP3f4FuqBACe7vQGW
cKmgbIbIbZ9rhelPz6I3nEbzda6W7q2q9JG7MktCOIyeYy+Z16yutStpnwPmOdEF7ceA9ZTLf830
t1qrGzA7JZKlSfWtWdd2wqaV5l1QCa1chqBqUSDphnNrqPa4n3UuuiW3X2zFuhn1Vh6jqfuqyO4M
s/ivSKSIvn77FHd1ekBatm+7sJ8hwEBYjDGTOUPtLQ4GsztJHs58k5rt9UrCg/fDYu8P4DacPL97
NZcDTaAANaC//CQDpQgcK2tB0xlvuIpKywG2CdJ6GVH9xSttVJefPtdmxWKwTbuKgvWnV5K2jdk1
auqDPuSvbsTTcHscZ4jzfdF7PUM30kt3f/7pfiuwI9wMOiYWCjR2YI23P3lPP4b8iMpNnB4q2jKY
Ccvn6bGeubEVYRzklhywfd6iQNrR83T785cWTAF+/3ldHFfgbLF5/RzQiVdHrtniVIe+7ESQMb69
LJGVbI+Lc1Zn+YFoizcJ536XS9xg2dRz3+IE8sBCvSVYKeJqPY8xuZFoAA7uFkGDuzzUHXmWFo9v
tqmNz0IBY392DZKDGPXpfi7jZ9VMcDHPxs0I6wHSG3EIJkCxDzEzPt9weDz8+Sf9g0sIaC9CSs3S
VBNU0W+/ZL1I3bLWDSSHer8zavVC2s8Fq3H7F9/o5ij83TeKSnIrrVA6/i6yyZWaM/MPuVbdwjjS
Sl0WBn6hynCCYtrNAny1cNq18q6Ylos9qOUdcg48G2v8tZ14Lm+lSgY9wMMCdo4VTDmuHB8V17oR
3bRPHB73ZkOCUhyj2G9nfX6JTQAYZaw3pEUu2AnUrr+v8vl53lJWoH8ZJ5SUJcKPoT5DAfkapYjj
qhwyfjc79X5Wsq9RvT478bhbBzoNEmkOxD0eCHRP/bgEoSCa+YwsqPD1cb3YSys8cqA17HvKx85E
yGZrfwkz3676n+9EA9Er0xwga+bPrPWVsWFrKMRZrxKKK+XEzJONnahFgLA4/PnFQYX9u9cyVc4p
5BrEy/2cltfpS0r49FIRkz3dGz05MPVfPTC/3Uk/fR7b0nQDwJDGjOLn2VSatFAjVRVdujs1uz6d
dd+IVmBZ+hv6mWU/QIvOdePgKvqNjNwktKvixCL0PaDMTw7rdE9Hf4rgJhOHKeMQT1yeTs1SXjPw
+UpOB26PKM0PoOxWAjdI6BjVtb8qUitEPfvkMGBh2O/ER5imeJxN6hYQ62DbkTzu9I54AuG2+n6c
mVmpevrVZKvntWl+Pc05Pvp4If0ko0DVaGFNrQFMhFpuUof7utIh5on1u+n5bf7f+At4ReJ56+pH
oJnxB3csvwsC/wiBVA3jZ9R1pTfDXC9lddAKGoUpKVM/HciV0rFZX4PXHbyUcgv5qXNTmrT0Ud9h
s9PK2yHjWo5yeLO4GHcyWgkjIe6VEZn6Ikk8ChzIfpu/7CYabSR+kXmTMBlkFciTqIHBE9jZ8oxd
8m3tVQ/k9gMxzVRVLR+4U+Z9nqjPC4WY10RJswdst3cbeR+b1uhl7JpRNPHg661Jeq6CQauMSDTS
iWVxm276Lg76r1/SH9wknBnb/5if0r3pv32qybhFdy2n6iBJ+6bEIWNa8nYMJnxRE//Fb0TTftKs
bCcVnA/BYw3/qfO7e7I1xMIYaKwOnd5XoWYhoXai7BRxUrkavx/cC2x/gS17k85jKsuoAOOCbHEK
wLGOLK+u3Ia13dSGLvM+L93WvdXifOpz7YrFwG3hIjRNXKr9uapFIJr+rczW+7lg6GpvhzGXWSzy
V1C0VKnkr2UrFM2xCrK5JmMqHcJpyJzdwK/0W3u5GrMI0HbovtthamW56GeNnHZNNA5esQ4JoS7z
5VsTFFXQSuSQ45ca5WM60Eg6TH79taXVM1f52A1YD+EWea6YHvVcu7RKehKCak2zx4Ao7QVxAuLU
kr+Jpu2CbMZpp8GdCLfbqJ/Nm9qWj1a8NRAm6V4OQCi/aKmW1Ci7nlmOBqyA+rBjbtRmJrfYELVX
8IzfiJYJJOwfQljS61Qg/oWLxZFRGC9ZMt1LYVi+qM3DhMlEmbLTtzC5LuYGHobiRFO8h/RUQZmc
uDC5Oyw5XBea+THpCUjMNZMV8hQIvVvAb6EpXLt0L0kdOwODvSkG4wVS01+dx9Yf3N7UOiaSmw20
J34O70DOCZXVYJbZ28sbyuT7XuXcm2izIsJtgq3++tZq14NL9J1Lpfftnq+SYbfIXnptxo8x0Ary
ocpCF7G+A4jahh4atz7ZGBVQqXE5FFuAzZQCcicbJg3bLdqmVQr3uumgAq0x5yLLKGJfeGL5q82m
QOEZkw3L8yQot9ROND5ChtGf4wEMmkNlHdMYch4mcGH8LKbMtrPxcZh4gqLlv+9wKaAyLq6ncbw3
zDHd14U1h2mXA9WU67lMJJC2Euy2ppBJXi9vVg9BpGuGe5vuALeCdTNxiNBkjo/Cmi9bNT/Yv56v
/9IE/wZNkKr/v/vmHr7RBH9v29lYgvzgr9pC6x0DLI0kF1eYvzAi/uOcw7ZDZySYXRu2/qNzbvPm
GBjkAJe6VIfb9O3XEZv+znC2VZglsM9teMJ/MmbTxU+rMOgVLNZAXlDu0pFT2v/2ZHBVtLJR1Cpn
wnOmOxx2REyiLz+WxUoUVDP2gQrw9V4U1rTHCrqGGiQfGNUOqKy8lo8LMMCz6PGXae3gcFWqk+nh
b6lIQdQy38bvHJL0fR9TKxrMILyItEjfMKpnOeYXqQMJymXM+n8LPtIs1itRvz07ywrDqJGrMRLl
Qn8YqpZmo9GxqfFYuzHk1D9WwgXchscvWFANflYVIOeOeKId+Soa1Hx2NN4t7jLcZ7Vl7ltpGpUn
srG8T7N1POEXac+LjZbSm9syx9G/sjMoqvlqkZZ9LOO5DLNsJZuApdBu6EeQNHm9WkHM13nTWYpO
8rMB/3uaAe55ZI3SaZIXsBxWtVNDtTFgd5mteaV2zqEo9PtG1Wxy/lztGj7DuYrmktMIpVfsDHqY
J/mCJMuJdoPalD4XTB06ldZ5LQZsL0WUiCqq8/llled1MPKdbSr2qeTk9COSV73RsJvdrMcsAudK
aOi0enB5ebE+tCY4Kbkkz7AQ9SfGltZxNuzpQ6XVOtmbrYt+QdTRTdMtuhoWdZJ27DWVRFPPUxWJ
9aHqEM2MYQqxXHnLi1mjKKqLUVnZDvUZrLcKUoiPm8KAcIf9ePBQny73raicGzd2VQUZOFI7ryO7
jQOGTeqB5/28t8sKwleqGZB1y2q4V+hxQBOlSpkMnrP2YmL0lJpXdt6p0IDge4VKvjJFwC0DtQcp
XX6jLLBOFM7SecZxVn/XVde/yKzz76pr/kObBrv5rsgmvW+w0GdvWm1yrzfdttvX6Sbj7qCfZfIu
GvISaHrt2KQp2Os0yZ0bsdJYCddrug1EBkfQepLq2KsPyrRYKMEBRRSli0+HHSuIb/oHSHVE39Wm
Ol/LtFqadofAvhp9rVC19zWWszuJ2KgkAolgyR0GuKz2cyWeg1QzMaUpJK65YbpMynOSm2ke6KuN
pGmwyhk6u4oMrXJb4HdxuzLy1aP7CkELUBPbbBvcNqR9RiaBozdKtuiaD9lFvV0naU07pqcy8sc2
YUKkEbPBillLDnWFlQmloiAy2BmXhw5AZeyhrZnf52nhopprLfGxTQxo53EZ37bJ0t5abeqEw9Rw
8CWITuGsNOo1BHQzLOOW7RL280O6VM3F6rvqGZcKDBkS5TZK3oIl3kMn0B31LIuOiWNFR6exFSqo
frBR7Q+zGWgKMTKeqlU2v3K8P1u3MiyeNoGCSdR+AMBlV5fWaeK9TfxKok3mrZtN8WNUcOw2kApN
3Arx+uHbU/7fA/GvDkTSmegb/vuB+PylY9c9/LhtEt9/5v+3TYbNiWYJVfuu/viPLsQWSPANW2W3
//1U45V+1YWY77YzSqcKZOn082Fo4yLniERvz7jGsP/JYfhTd6+TmUSPhE+dMhOBiLr98x/mayxp
xzUFf39wyOQAnUGyI2XbX4Wc/25yCMSJz4gdlk6Mb2L75z+8yv+xd15Lkipp1n2V/wVoczTcRkCo
1Loyb7AskWhwHHDE08+iWlif0z09/9zP3bFTVRkZEeB8Yu+1EyKfIAUSSjYWTWMiXQihhMxJ+9Gg
nbivPd8+VysUpqhdB/nXS/e/bQO37+uPAwxeHD0trTIfm8+H/ccXz7yqmkk1Ck+pE5K37Kt+4vll
8rrgxx8LdCefaVjLcNc3uR3165L/mg1OidhTnh1VEEp3ywhQbdAMHu3O6C7jhuvpg4J1QlFhL2Lq
DIMvTdebsfeJ5/GqKfqni+rfNPz/9k1ggMYRQU/AhfSnT1AoR6LWX8NTt8LZnp12PdRGDZvWn5aX
jrU4oUqlb8dGzWSe+Af5PoWssdwWjT0BReHG8yXGqu2JZhWahNcwzFZE8YTpzPQPh0CDt6zzkQai
WRnaG/Cx/od8yn9pavgeAt8LsXME1Oh/njL2jj2Oiz+F8AjkFCn0LBDuFXFX1C7/+dP6l85/e6Vg
m4jTh2+JhH/8xl2kl/iWeSWNSZfJMQHggxd0FzXY3YNwaRH/8+v96SZiK7xNGLBuWlziOHP+NGmw
zL5p0A/zemmuHjhR+t06kpn3n1/l33x+jjCZLxAhG1ikaP7xXYWK46IiIIYBw0SiOZ+atMP8VPbB
839+od9ZiH8Yx2HmsXig+tx4ACz+fCgUQGXCiWvwxByzOq9+z7Mn5JpZFr64pbYBPpgZ0iZMFOUj
8YHBtaw8zBHwmx+zkaF37brdg1q8LcFMQ6WQ5qa/1gjzT2klCTerGqjEXJsvOsW2srdX4bB8KiYc
Jk7Ki8zSAfIQIKnsLa9/m7w1P/3nN2n/HpL+4V2iumOKh0TKDzxCG//UBSSkirPmVPOJsFlkaimI
HT9Fb20A8CHprEdGardfc6WMyC2RcHPxFqeq3kyNphwOpVRYKct8yneIQqLOa9BXWWV+60Je/PCn
un6jgEC1M1lPJns24remytwr7BrP4LFIByMaAHdRNr+Q22BFTZovRwxAJk/zD46z8uQNrnuXjhaz
i7xtr3i6ZKdaJkTNEV1xwlKwoH3O6zizHPPY223wjLi6OBcGycuN2VFRIoz6kdFO7cmkZbgpV30n
K3Pqdnr1nWv0SRWqVATMUlsOi2A57j04ttV+MHG4lPiRXod+Q5DRlzT1Yty5uGt+Lth3GLVmwxb3
bR/dxAGKXnhoo1dYlZHhrw4mLVs800jVb1jzyy9JYg0uTxEuC8MmIKO7qRWk8TbZ/M0PGpL1akv9
zs07F0sxX69d6N15FUOfIcg3kEmdT3cj/dB37ITup+j62JhDBIlJ+csojeDGoJZDoJtTlfrqUtdI
AWEsdHhSwm1F2ty2CUnZ1oysZ5cqFp0GDmDEhNfb5wmIkxwZmlL0jC32ArO2390MBSHrTLEFm9XX
TiKXF6MqB4s/FeutORqYAJatKhM8X/ZFPdlHdsHBeVwd+1PhRrkv+Jya8yBGWgu/t59L54CBjCtC
AycdO9v+bJkjHcrMMhjmzRhGiSJULw1Eg30LKoyvZgYqOrfpaVrGQ5bZD1ZSjzFnmz6DlV2I9yP4
hG2T9dNWfOfKM+XDoqqbPAEZaEy6xF1VkQSdlArzA4k/SoiLtIp0J1LH2RXhnD41RXoDzfojA+N9
yoZBPCbmugDs896wH39aNCzRRBgO0TJe+EqeWHCwlTKv/XmccJeV4a7V67yvhY25u+gMylZBJE5o
ZBxR47Q3698S73bDXafhscTSg8AsSN4NmS38MnOCKK509gD923anRKe5uDTQCx5DGMsJ0mKAOeV5
NKaedVR9b1y54J2vB8J59oowqs8C0cLDmPc+/cECSZIJfSHvViR4HFO9ScO7mM45Q0t4Mu1cgI3k
dvEMoAq0QZ2F9T628Bfh+85YLg9Zsidxq/mhtJN+K3CT//T8fvlmazVd6iDQ51KH4DwgClwjWpdE
pQOsRmajzyMxMXfGUmIJqZYltXGg+715JqTAX0FjdYTf1CIFHW2s84ujAR6CssnOokR471StA6GY
4Th09Pxoel1znc8tQB+BuA5iBh7EZsQOnntzdwkl2kevHRdimWDqd70oD0mhly8Nprq9hcZD8Lek
KFj1InaqJRJO4jeI8pQnh7kmwc4So4yFnqyYd6wuvkc/PsFEj5CkLnTbon9bw8m5s7hRb5dcdGNE
gDzLT4Hm/5dZ4DAPK7GelqJQPzIf0rnX5v5rhkDuunF989kQ1BdVK7O7ku0otFhKPihmgow/+sYI
EWLXIRqE5QOkrXysUqf7VhR2GZFpNUVEL8z3hksGYVWa9nlyuvIg8dS8tkMPrT2Hnb8aGZl7hcPZ
o3iTnaT88qo2uayITU7LYstbO1uTi98zsV0wQCEbsckKIshWxqHSvHNslXcb4yNyR9uK4eVbsQPG
hbh7mfT4i1b+jRVW/VvqeZun2+Y3KcdQHLUeeEsGwZW7gXaZiKGycGNGM+6dycGwXxvA3nKw1pMo
vGof+mNyoVZx9zLxQlAwlbpoj+vVJO7zixpYv+Zaca63VncpkKLjq3Md62iKujtiLySWGknk48IL
ZJGB1RvGtN/xay+Z+zGh+EnJac+GR+FL/ovB/KMSAOiVn5nfRED2bwlzwNdde+wLi40P9aJ95c4C
VxGHgone9xazhnOQGaDUukS7qKsiO7R2ksVtMz6byeZKHIYcAdfkxgD8YBg3IezqLCUhUOolO/Lx
++UPhVsmu1Z93WmuZhQbw9xghALqJyLFEB0lb1Ij53TmhYQ4nKNOdjv/NZr+9+P9/xrW/6lhZRJL
4fjfN6zPv+bP/g/t6l//xd9Ht/ZfXBol5qwhKfJ/xZf9Y3Tr/QXUEbDggPpvszj8o121GfiipbQY
6G7lIuKQf8xuLfcvwTYERq/Prvq32vJ/YWOg3P1TO8dyjUuf1TdFzeZEtzbFyD/1kmLAANy1rThP
naXetOH4u75afgSzVd2upoGZ0wAQNLOlfvSn4Kbvpf7m6aJ7ki38JKH6y7hwjnUBCWZOOxrnJbG9
5KjbIrsfm874HH2/hWPSiu7kBAlSMtcle+wetuhiPzhOXlo1fs7K9M/gcwPrluNGtC991VlkRTKt
a+0j/B/024FEJA2xTE8rtE+85EPt7JKkLJwD8fQC9ruclOpeqqAZEBX7DdEoF8gmnoUsLQmH2M8E
2XFZ5VjyMlDdVIBRmpKydjdby8KojP2fefHbBf/nkvYd+0WEUfR7TjIj7Ld88LBo7l0eyCVb/OI5
WQxj1OzkSt1FWeu2n0WTBD9Tr0j9aLXIS+nijcemkTX23OZPrLsKSdZI5fTHkjXiFV3XuuFuwuwq
KXjecSz4bn/QAkxqvJIjyWawLYgdRK4ykwZV76rGHk4FaYmQWwL3nXbB2QV2mp3yPn9KqwrOyTwW
Nx1c81NhTa9Fi0e7wI9PpRUCqJrSbAW+m2Zv+ZyTSLPo/Exk2U3rqKsMq/Rbn9YNLJr+3q5nnPeN
DkGFpN6PYU6mnRqn97UgFwJEDIo1+wyN+HXWsLIWQCyAdZ3vKSyU2CYT7QmuHQ9c4luOxKa8oq9o
d2DZp2Pv460IrOYIsuCR5vkVI8tXW+XD1UrBuCPa/XbNOh9b/PDe1v2l1m1zKodc4qy1o3mtiYtG
oX4lpTAPQHnvs7RugeSWr1IYVDbA4OOy1r+wrXk3tbcm91OIJx33okGa5LYwByVVAl0/OtohQ4My
w8LuEmmNYT3FjgrfXWfXyVipm2Dgme6jFTtDHMgPzby6u9FIs/3ad8F3DK76WGs3/x5w1l9mqJ+x
7FyDVcXiYO5PfyV20t65BsTQIZ+fqPor6mT8EU0u81NT4hYfc+Kc7XZxDWJix8PA/uTMuZAdFFzt
Q1q7wOwzIzxqb/oFWpcQ2gyNLn52CILpmDdQR/PvLSbDvXYb8gBTHl88hfuobYkAZtq/7N3VgFAl
dBXjFMl3gTU/m25DJVOVr0aVnME7wXntWSa7g/FGIKnY2SSNXrIOmTIBk/mXjWP3Y1x9hujs2svJ
KXe97sBdjYsor4E0jVeeN3DHQ2rpIEysxlcLFwITdoBxAsRSQL6uKjTI+wUV5Mkqxfi4mBSmT5VT
Mt4VVMaIDFGngtPxDuw7gziBFk26CUjo596rB2y95poeweRa7M1TVe+R8PJqXFjYzVnT/xirzt6L
ROt79IJk42ouizTUlcl0bF5+dpJDNU59Z7nA4G3Q3U1kXx4HLq2ZTGpPzPuO37bEQTgNX2ZHRiVB
PglxWPM4Zl8MnEPutSnsmD6LTk636Bb6997lamEN4lCgmboWV1kT1mivA4lj17COwmJM3pV0w0vh
Hf2s5ZTgGb1vBVEirq3HnS1XWgjZ2TGOcHJo0yTfWcH6bTad8BXOKRHMhfHJLfVmrbnYEUPYwl4j
4MfonNtCUI2qyiquGiP/mfSBinJL5q+1KjAle9LNb1i2azrycSWlENzbPblWL5jLS8yRoU3WEcXy
xQzhgfi2vtZYyR+R1BtPpdP7NCxuzpYu7PZrHZJxPqYkmu7gAIBSb5v5QBYMMb8J2eJDMhAGMwzD
bdVnLVrUvDm0hliOartr0eV5D3Cm7UPSkZpMrhFcs0qDSWJTni/9aTJFZhFri1uzC9ZghzSweZjs
5b0ZURs4ug5/oAR58GcH12df2vpkB8M377cnVLAgsmx9diozAMoBAX83MFNAaeY4cWEMxhV2poyh
HC7URqwwBNs53y1psJlZTc6DYLnNMQjfrYbQN0seFrQ+I8TOZgau3bNW0b41xnhSQbeFzrwTkxXs
w6IYd9JUx8VIEUvZw004cmohsFpQjJOQIqjWzkPpgLWelLtLzelxDKBxlQFJYURFgvsZW0aQ83w0
li48K6GTfYv9bsfYr/6xbHZgYaCbGjeLsIRqRMTN5htGOdM/g14BfxcgBWG7GUb90J2x3oFKMeTX
3PkvNcT1mKZjPIheAhtbgL0bDjtBWjeITgivL0bZ/SQe54YUihFuRFXBAHMJo7H85g51mQASwBfb
iIVw1c0KvW6maGOzR3eyIX2FwLh9kOK8MwLe81gCQrLqkvOu8z7WzWbdbIbrrBw+rLYsr1yZYM9a
mH4k9rSgJyvoeyvdH/vNrz2V5dfoVeFhlutHKvmp5W9nN3VvQnS5meDRKzj6y5BEe8aRYOcGdZ+Q
abDPNnP45ASahzuWSE+k7/iivwii+eUMeXWoXAoGPTtvtRoz6MR991oF/KhVgUGRmNe/1Ogg1+lx
UDgcojt/c6q3blU8hFYrz+K3h73EuTBhbR/rREQcplAD4Tq9BQsTHmewt/Bx2CYpG6pixh4xenn1
3dp88/XmoB9hSx4K7ROuC0z2gDSmvkZkBRBxIdVV28v3PktIdmdtv5tCfgeI/GUsMGS+9sJa70sb
nB5P0xA9ZeaPtP1TKfn1Nb3SO7d9OZD11ATPne/yb23BAm5Mzl41T3tGqenDCKHq3gUX/w7u7sn1
vGkPR+LWsdr+ZI9BCksrKySS4IQPmsg354XwMhCyrqdgNASxsyaehVnVT/mm9QSUYuMj5J4GNZa2
1k+3mRuSt/ied5Y02zttrsNJ4NI7+bMbfExlL95HuAyFTIa7VdhGEWud6VMhB/vOrT0dm2tBuoIj
JBt+AJCo/zXLeRQ6XBGifuyC0H1EEd2LPaemQYlhSWvvQjL86pVN+AQ3asp3itC63S2+8o5Smi63
TIMW9UT2zTru4VF4EaOEJxwc455l8TVz7+JbD/z0e5N2l2rKkpWWFsBcl9o/aQ1d0rly6wcoEaA8
mPvYYxq4cc9y2rgdeZnheGVqMv8QG+FD/mZ9bNSPhMPzBhMiIeeNdw8X6SohOcaPNI+D+YQcB2y/
9rT/M0n9ep9ZvX8XDm7+BpfTuTGJvI6A4VSxy3AfnSBRzJHqiJprB7t9VLajyALlo7idSytgiJC0
IGoGOWLCVwEMRvIEoaZs/JSUQPND4sNVMTfCiuT3Qv7pGcfCRRl0RNOXv3GalW884sZv1TSLp7IY
SEQo/Pws3ImKN+m8S9dowkJyFMKQy7AyvaYWcMgrbSz1LlyZeCAl5YbIxFTGxLGGhLLjTszqmeT5
2WlkBLpIgAwGRTOs8/AmgnX86SKPO5EQjr+zKIY7J83US2u7quT+a4shsvF7lrWLnZHqCk2jgsNf
0D70E1AaTtg9fdIYRmsobZSQlVx0nBfcD1cs++o6xpnJip3kEu9bWm48H82OjOpndEJuRAX1Z1Ee
CgendLxbzy6zd+1PmLBbf3yq1mYxIwBJxg1yjvydLrs5qCSonahe54ogwEaQtFukwc5xmJju+g1d
JJI5eQC3jICi5njFe/Y01dTGpHGN35sNgmRkPiaWYU2v1G9M0m9i0lDr+hnFGbJY4VvHaUMrFRtk
aamHLGrTrtpLY61IZlTELUwbnImMTKUid0W2UaA4i3Vhjtd1s46AMAoyz5kg3VvSTpbHwC9Uezen
GdvwMJ0FUS971koWxUJNctrSE04wWhboacrNfCNRl8xCnCeShX9TqscFFYPq8fJmdbiDfw3Tupod
Y49ww4wrSA4qsvuMcxQjwUzp5NmnIfPcNyvYzCYgtaV/wjItze+hFySRMIokvc61zjsYeEIVCPjT
KfKsUaPeR1nA6cN45hqSlzyN+Gof526gFzDJZFldL4v0sIA9nZQ8K67JaBzs/FoWbr5PrNH/qlXr
/BDNlqOnclLsjnMtn/syTPJ303TGfe2EE+Fj3qZ9X1cCzNjg/UJLkZ68saYENwmC3He5IoGimESc
kzUMzrWHI9lb/fopKKyvpkVi3KM/bn0pji0/9rJa3fAgZS6J1XDqx2ky3QshxdPeqh0ZuZmJO9bM
apsZP3thZqlUBx3JF3MJGFCpor11nK4mVsF0XnqqyHiY55C5l1nEKc86inPYRbOlhnis/DMRcDpq
adwfUbeEB1UK69N1ZuLpSyWZWHEyMSoMdj4G+2Oe2jpSLVslO689vt4+m75XIdgv+EJ39pyFP0UD
TIXfBPmKsPbSspZTZ1YwXccxvca4FMwILZyJjEmvO8hwduOOpEIMRutGkS1yvGBJncWYEDK6EaP8
QHVFmHbo1ycjT2y4JzxJmskDIhtUhGMZwljglNj2gcQCLHehb9wN9ro8yik7jSSY3swl8H43bWxF
BW5UcbVk2S8pPecmSfKcg7ZLT0lrcO/2HPyks5MckzEoVBVMHCRiPHSm5QGsZXir55TAHBLQTqWX
uzHhlRyYfYv5WJj3AQk5u75nK7AfN4KST1hsQ5I3anezC25Lllf7uRZlbFYJE34s6u8gx9BgTX1D
HlCe1Qze+3c4WCXWqeDouLNJaIjUPwXT5lOAb/O81NuCj8Yzh0NCBPnc4KReMLnvABx4kbdWn25o
ZzFbKUyHzfxNBjQRaRAta/eTBc23vkAPV1mY62OWNiW5rbYdA8EA3JmHyQW/oPvJIiBh6Sa8PTWz
KfZGMxdVrGBBjakzk8TkFQ1XS+8zBS39vaWc/LpK0/Ke+YMQ0UiiRhBrZty3/UC9XQhNqtI2/pmD
Xp7DrqviddLsG4tA/JoaWrRiKPQJbvwYTUZngb9BIMUS78eQzcPFJwpnx9LNv6BJjLJskWhzvI4H
sIGhyq/1w8qw85CS50q/Rim2NMh+nbWoz6QB6XKf4v550+A3Wa9PNzYhwq+UUs+50REJA3j2KvNs
YmLnlcKxzc7JtHaA+0ZDRY0eP0Kzw/C62LussF4bgyOv0A4DWU8F+8m1g7dshjhgd4rcWxForCaJ
+0w+FtkUa2ldNUt2nRvN+yD9HiJ29sQq6ItlPPXfQnXUpLJ5ylrr3c7Y59q6cX72QKkikeJrkkb9
OrNy/pKyRt+WNoEHZgzg196Y5UiIo1c/BsuAKLFNyV0ZZJB8aDEShDhrzSYtXKbHDqxXiwA4IeSR
AcR0cHucFBT/pOg51QxDaLTDx4YDC2OA7bYeby/xR4jP2WBwJ9SxJ0p1IR2PnPA8nWl1koivSvo3
DNblnfYchgQmPv4d+xog3p4FQw7vBgrmeBSZvMXuHZz5D/6obIIvK7UenYJ0nTLIs9/rksvi8nA1
7elHUsqxO5ZGmcazN8Ie9NmdudV8WXO/5FY3XxWPpH1lQvUbrW0WKBuS7kII2L7pscZ2B6o8JGub
ccHZp73FkeDNSk+nogVEq7sPoMEXjE6CMDJJ4GNq3CQhkaxrBaMCRtZFmtAsJ7v0Y7/0qot0Gf8B
Lur3DaU+ICj8LwlpZCrVD2HR/xR1zhWfLC6y7eahc4ARMZjxz40D4c03huxI78IAca2NO9Slb+gL
+6shMYAHKw+XUmU3x0zINM7b2jzNBc2Zcsf+TLCDYHIxtDtRuj/JCw0fRkMwhkugOWXt8lGmRNFa
w2IfECRiOR/s7wnqiqcpYJHizeDicLS10y+39/UTZx8rc4+ICZ910UV1DKMEcli2B85NpWDSRnae
g3sRZXkKvebGGap+n6y2g8UzR64S+zi/SCEUWXnpeD6a4cp6NF/kZ2+2LTk+jg2tGybMD3Szybw3
l9L4bL1a3fmiImmJB54CSOjPp6AsFBpKWiR8mkUWzXl6UYaTxna9LN+ps7i1UiDlOYGLd+1kJzds
wcYfRu59kUi8yF1IUMSlYwz9sM5oWl1kNs1e5mJ6CWZ3vLeszFlvN4OY3E1+3R6ZgtYQ6Abi1WDf
eYcNruOTAJzPkSSKXO1JHpaQAlkzOiIxbsmociHF8DA45Yl+XlL3hQrBfeqStD2k3TKcuA+W2FM9
4Z1h8DoFEHhl1lhPqSBzss/su8Dsk8963jRIdRJAHbFIL65o0o2ryaKoua5I7911CAyuqCGG+QCh
usU3n3vjxWk4f3bewAb8mCY4YxgSVdluYhZGTVPDKGlobijvppZcEBAv6lVJp7tCrBvA0WuJV8BB
xYxvkQXmZM6Fd49wJfuWiErxrPkBXhR04/o24uvacRsnDI0YUGdYIolFsEcJLnyDDe6FnCCkdU0O
p0xKFfHACneDGlMqJuAl+PwG9p9q2CohTpn3uvT8DxgoAbf2WAwnGWTtDjxzR9EaOCDFUqPSeCTt
+ckd5cDwSSBK2NGGBXwTRvha/c5jzsAWorhI0J4yU1selxIn197mRovXboPR+T2N90w4354StJaR
tuUXyJYmZkXwsBiU9StklIskRT1y5Qj7OU+6hznV1luxCaojFy48/bpr3vdda8JE6XTw2GPOp+JV
aXtfwQp9M2AbXOysYy5Tk+t7oxZjeCulIW7ZSi5HS2Jwonnt7YceX+5jaCS0LwouzZVhZNb3pcrL
y9AHGljL5rWZrZG7tG04Vne1G8BAC3o2hmxLC27KCZN/NE5MBXe2wkZ0y4R/4HkSKrvCxWstLqCh
yeWbrgkFG1RKflbZ369p72DiXiT7ScZQz2L100vhcFQiv12+Klmb78StUait3oBzgwETlrEwT9Hz
5N3b6BGUNRk8ddPW4WHGJRXR7OSxSPviKI0pECgy6iuVzP4WETfEJGqU19IEykVlb4rrFufUy1A0
AzEBc15HmTEhVlHEUNhgMh9k2clbHHvBqYbkG/d6lUcUAc7eliVXiaHw8wQYTL8xvTV4iE3yWVDf
Xau2mw7jQPXPONNnSmNkjyQ9630QptDK2WXsU9nXN+MQ/jC0acYcTrA/M3eIDBgyN6Hm1rAL/H15
Z5/bzAzuwUHM52lxNW4qnz0rUh+IsXQdIxXjnnmzuvRZON6A7yuv0SR9b4LZjHWCa7oIls90qclz
c0o6A6LxcAYkNbMytbxCrU3QLZpZLK0VjR8X+jHThG4gn7POZd8ys2nLZrEYtK1RZs9mhNEXBbGL
T8wQq3rPcXDuaRVYjKsZs6Nv9uN94LfMgc2wqqLGtXT1OLsghJaMh03hbvnSpNiV14aPlN5lfcOM
FQn/0mYHk9TuXdgSuFeu/H+RPPT2vNxNQ8McWJevYW99s1MOa8A4cY4vLWJS8hk2CtRsysJjAjcU
9UYlogYn68EyS9zcTg0lqnhcA0mrgPYVnxBkX0SVd1BCbfBB3Zvsu+IeXNaJffSJwmo46tXRH8bM
GsQCHogEVxzESoU84z87Ss2DmoTnzzosuodp7B7GdgvoFG3Ao93cGsGsMu7QrC6gvFBidI2wrjHt
/3QMf7zZ1DikIcwOLIMVh5gD02GYXMwL9XytpZyhfnRv/7e2/v+B8NnIQVkn//dr67df/fD/XnOV
5n+i8P3tX/5dbe3/hT2S50HxQMKIppkf+rf1dWD9xYPWHDiYfsy/IXz+rrYWLLa5NvwAXI0deBt3
52/WI+K8kFp7mxYy3BbbXvi/UVt7wb+IOO0N6Oe4Pgw+h99yk67+0/Y6XZypYs2WQe/wx6s2aOBJ
4+btr+yFUU3lDEh+KJbNx94EiFmnRGux9owwUEynMlMMIZNk9A9qCNVTGPB3QrsKX/NgqBj0c7zZ
+Ri2V+3sdjhV6qHEHZ65Z5g3vjqMxZise9cgh5WDwq3cnVO6bBFDZD+urOdTB1e1CUo2xGphQ5DW
QfpCKCVpONolbST0im9w0V7NvsKu6iT98rJiUmD5WC2HXBsiGpxifEin1rwMbZNz85GNzZ5leyQT
IwvWbOnya/6JKdH/+vrISv4hT2TRR9lcTCdld+3NOi0No1FbvK1K6auCyfAz6jv7QP5Adm+FPYCQ
kEX/Drhc2cdW7eX4R4rq4PkuRvBsWuqnNGMIa9kzbLyeP6YeNa/IBX1pS+aOaTDom8BZWK9Uw97o
QMClutWg3XJneCpl4d8zvbcfEoyZzId40piHdhm3iV1grFE4JiGEEu3ElmQC4cGVZ2jER2j3Axmt
bQjuk9TZXTLblD+lPJmA31nhIecZszs6Az1E1gIrNfKRD+4dd2IwUaWrg6RNbR5Uxr+gIdaBAPPh
FE5brEOPzGpHQKkZG9oie6hY2JSqvnH5Ptzxeg2s01CI97yA8T7yXmK0Wq9Js4hLOKkXIOjOPsSm
9bHFwV3MTJLTumBmg07AU21wIaCl6WPvQHOPtE8mSFDUMFsaEjb4lOvM38m69ZCi9h5jfSPZpoL6
PVGJ9UBiVRG7qYeDbJW/BgucE6uo1YuTLk/v16noL3OI9LXw7D2Ij/kaoTAWX9ODytgYyYNpD9/S
vmV2ggXmnHkqSa+mQVT6YQ7TtvskS6r/EFM3fjEpNR+8WrpXm0HhqfSwjxtuM167fd95+0HXfGST
rNXNaImPaXbGW4OKD22f+OU0NYrcqSWmCmfYWRfOyCiCTJWl4kkY1WoJ3gnaHJ9XYwtW10kVex3y
YHaI7J1OwhldhtIejqF91UzTR5YiL4zg/+bo/kldR91RKICXfMux6w+gujDtChLwVhhEJE5ey47U
7P1sLoxbpXU/ueb72ofvQo1IHu0wVj5FJk1RLsO9gw5RHRknsIpNLe8NyeVzmshfgqZ/YQRTyRiZ
lTi5lcYVjjRDMpAKNlSSZwHW4OzgJ6Q7nyHnbU9+CoXGdJ7NpkawzZp+ZsDST9ZNH/Ysp4METg/S
Nvle54YcH9Ww+PxK/aEwxuRe43Pbqa6ERagZyvXamw+joOx37OxcUh50D9ZqQTMcE8Qae1xUxRWM
Puj7eS9Zm82w8W56MmJi32bokZGsHHdyoDLy6UFN6QVvjqoXdzesV6TvGaeURIdjGVSboM0yDm6y
kPAslunQbOnTgLLKb7NrE8hddNNVkPsHB3MgrIHFZJjAEG9XqsJ9gBDKVN9jRAH+kpRbjb606Gq0
dSW1SDuO8qghWey1Wac3k3YnPoFiS6aphHt2h0DdzMiMXqc0ysYKZEiZRnXVS7DsaRvEs2HXh0Je
ecv8DQiWF7Wqt87zmqyxy9+6qlzR3piV3SGXc4wZOyNmNYHG0LX9c+npgJNKdQ82dfdz4JLs5BGp
FGUuA/X9ItflmBisXvZhVZZIVzBLOrM/XdFPoC5S+gNVNJR4PWbg1PxQHSyXdg1JyG21pssXinYa
NO37B9LdgJOyjQd+lPQ/WGd3kedn7IMyrzG3iLrxTIFZ7VsCuq7zavzgweIdiPfRp2btJu5SBpYr
3ds0ISCv8+GH1fC0iX3H76+dGoOoTs2n1PcCMO3ICHLkh3vVBMWRkNh6l63qBJ2feSsPWACnoMbM
xiCuSjXiLBaklUlYZmdvIr0LLaS48gbUoTyxg0MvqcNG3wwJo/RzxsjVY+KhxPD71D9OMmQFgPDi
a2Qntm3OWKXVkrMXYlwV4c7ozh3EBUAfKQtoMdv3ymz3RotmCmGJs9xkMs1vczEDgK+gDEBCCyMX
N+IFp0hyoE68YhvSEb019z/dViGxqeUUF0iVrgcbmfM6OtlZreF33Oz1OXUhlIcwXMdy+l7XZIwJ
c6HkH3ncAFU/B6pPT+NU2cAugluNRQJNvX1r1xYj/VG7D/Rl9UEBjf8v9s6tOW1licJ/JZV3XLpf
HrKrjjG+gCGJnZSz9wulgDaSEBK6IcSvP99wcRAQJ454cJ06Kj8ZGI1GMz3T3avXmlTBQyFlrc+l
F3yCJczqQrGmsBrDATm31fUSPRK2Rh+mdcoqMgO9uAxpYfLLaBkv0KRKgVV+1aaktsuCcX1IYMI0
uqhIV0UfGvRJ3FHYOVPoqJeE93NJrSbEIyCBkzqEuldSxxva89Uj0Sa79a1ck2n6polLgQcJm/qG
bxM1iRCFNDOX5eoWtMajTuoygI1zxVEmg6B9sJjKlDvHugwTDgLTRJfkdOZWAAWQdiqQF1RipeVd
zYN09aSSzX6axdKya+Io9QoEDm+SqlUi+zYzYdcjxrPoAhAuMf1hxBgsvPy2AoKPBCgW00IExKnI
a11xngu6FJYV6qVOvPaBfB1UNQJWBKdVxzTtEsY4azIGpdeC1Bta36yykmvKdKEOI+8SXc4izOs0
URkgGIaW1540mYCrG4LiCkQMAp1oDh0zVbAJ4nZQI44vUMYF2Q52N9w9NNPVXjovyCzkSjoHhahU
BbBndi6JiCh726VVeVbQzkxC66tp6HWrTI6IC1rZoiB6WRW90Ju2qEBJkNaQhkRZLyVVsz/KKAjm
7ThfJf71VE9gMbTsFd6LWpBwpO4UTA9Mp1fQpwafLS9NHgIbVDwgxsoHn2HrABaGy+vUkozblewt
F8B7lgsJEsDUFEL2Vf4UQqNyNSR7dT8LLEHzCJLiG8RuqOBl+o0K3oLk8SoHy2tFpcrv/SFUvoBa
0E8sqYFG+LKjLltUqVeACcUJiCTgDPrNO83XpCfkFIQ7DSsunLdgQK6Bm0UkMqa5hOJynn/DeK86
KoMEa6T8negCaVtTl2aXvNEh2aGpCHDCU0LmJi+CClyfrrRzeHvmbc3wIL5LMguA99QD9aJ7/ble
zpFWmOX3ZWHqdwbqgOAYVEv/nIVpMe1kehTeaHBudWxeWhfcX7K4CiOtGi+HFkJmnLm/UvBs9oaa
FxltapLN+wzaAONqOJEndh/qQrWtVOa3HFrtpwrMNbh2XaPSGDC4stSlu1SpVtSuU6z+tzrXFmU7
Aw5K6ZuJHUCXsB9SHuIqrSHYcVQpHeyp3/XLFnT/iYZw0ALyRBQOZyZKYImPNl4uAcSZAKSmQC9X
H6DvVju6UcIeX5nTzlTz7Rt7SXWITlS+tzIX5QCEdfmQEbgFNFou27j0iIdRJe1UCWXYUEbG2rXs
g3ojdTRPOwmsNPA6gzNSh3kCPxCyhMpCMscKhYP388xfDSw4Bh/npYyWCPY8ADEnA+uJpPDbRJbC
CXj0wIbicTLsQhkldaX5MCFwrCc9KZkYn9VVXrZL6gfuFKR4O62VyF6a2rxTQVbN2R+mf10fUvti
5t4U0zyLrktjrt8EYSu6W0qcxed2WH6JU3iGW1LayecJjNwTYl1BMFsMAtNUehiJBeQ3HovFJCGU
IdbUVwldt71WMgdjGaCJTmCOsvNFlVyC1WStp1rQmxNh6SC2lHCAysORNzX01S1SKyXBncKgrCIu
x5ShewiRhvayv1CUpXpdplp8/X////f8fygTX/T/K0i4o0kNuA7fPr/Zev6yBLGIjhKvIRFLkAl3
P3v+sizzEZF+9ZlYZOf4izJrScHl10zEgm0RLtg6/pp0gckjvigEpYkMQB/1Ctz6QYUoxce6KN1E
+kHRkDJSRVhgz+0fFig56cOkHBSz8SQLiTt93xuNEwXCPPh+kfPRDQ7iCulSDWfzJTewAuBW1JIV
tuMvBr4NpmX88q3W5GJ7hZPA/y1LkB1TG4rsuH7IA1lRVBXqoSb3Ax0wJepGs5bC6gVEaCnTRP8n
C5YTa+TFQyuXAA8jPLsCuqVXftSVVEzBbBxvmCYmHKQk27xBMVi6gWixcH0L1c/ZfZFqWUvrSQYy
tmFmB8P0ixVQl2RorXj4pUry60Dx9W7GkeFTgAcKNjIYJlHexlahI6um5BmVhQH17mW5UG1C9OEs
8aaPia1MFimVjhFu7hWdYF8HMUG9blQo3VSe+1+rZcguPEwKgJELdC6RdvMRSuuZEHxc6cROB5YM
Mfo/lJ+BZ25NgEbDZZIix6Jr6kcCh/NVL8jJHz2WYLu1qKMuJvDIz0WJEIh0MKSpn938b1mNbdXO
lZM7nbU1+Fy4afXgZgXgid2qEp9+iv0o/wJCM/fz6rVfermhd/sU46O4iHLRA7D90b5NYXXuLYbn
Lq278lILoUOPi7H74T2yHTqV5yZ0CtL6ggMzRJF7+3HLRpxctlSYjDRBTQcR8P67fr7jiUF4+fk2
o/nyd2pP4IwxqFc+QsP+KK+NAVFJyO1qsdj1izkehYM2foyCplyQqFM0FY31U6Ng6hdYaQnXdDsK
2CtuuDdRfjYVXn7CM46CRueajoLKKEAZL5jmN1d9LkCke/FM4vHGnl8lnd74+c0LbV1hT1x9fbFr
7a+FzfMbBKuo5RLX5oZvaBbIaKFykGi0FhTrQhc0K4SLNxdPuT8KJCY0i0o7RRw0xIXFeFtrQaUO
+bCo8LUWQaUOkPwJ6CTq08TFsNZGwbggXaMYHNw2n7+5uaAaa9GkRnNBQyVKhWtC5bB5yiJYiD5B
gaeDn9uMwpubC9ARHWXqXjsXOFtzDha74Nb6U8NZmws2khpYTUHeshulN7YiNEPZbFkbHqLnffsV
eyQnBVUBjmQoHKHFdbAihNtC4FNRSGi+NYvABOWdNVoKZFap5CVVK9ubxz8wi4SFEZWGnAVqybc5
CWDpkzfr888nAQZBpSjaZDlsHhIPdH8pkCUmbW2rBMA3FvgNbY7QcTZeAxZeNsQHpNZPTwJJv9A1
0KfGmzOEuLTCjW+2BjABugF/t7rdDo7ePiX3Ovhec7trvmJT/I2J8ux7tT0/HK+9Lt/NTvldP/vC
7jR+/PnW17gbf3gvnKraFwWHwebeP5yyv2q+xNoT2Ptw5xms77P9+fYBj29du9fuqXb/vPXd1IGS
pFp/UG27OXBm+G7/CZ3vzszZd4Y4lzLzfvTkw/taP/fe/y8azqYH7Qr+rsbtoqQdR/WGbcH/0Lzh
qRNldaII8gRMv6Ytt53Q/zdOD1A8m/2kcdtxGKfOON71Uky+jZFq3nIUuaPcHxU1V5m0ESu2aeNX
buiUTuruWhLdRgfsDIO9c+/fxf++I8RWzL7XJUxhxj/DLITGJ/XH9Vm48ZuajsyNG4P4qrfMRkHI
pGnLt4y47+/aESOOLAm80o0bvhs7Xm0Cbk8JTTt8h1ZYFPvZrofrLm/O4o2bjsZIa9VHGTkDjqON
W47Lg2ZtS4Tsf54SeN5OXzKnvWPbZMiKfIaG6Vkxmla7ltaDLOITu3+cZN/5rT7fx1CQHQ0zWidn
2F76jh/VrIdghz1Dn/tOWh1pKUoEK5oPR9/JMmfkFZmb57U5DR+7do4h8UeeP3HqwV1cijOs8L7P
XgCmujazFbyUMyyYvp9l4o/Ky90YizmoyHAK7/7x53NQtB5TArBradv0WToOCfKBDVFk6J52t/rz
Tg/c76lzcHqC6RQgbmM7MnAXTn3f2h7qmxqogVu+u3Vm8wzi+NrCpH3BjXWO9rtumrnVrq31qwT0
fKbG++7SH9W2MfTJRST0HD3/O06nu5a2/Rah9sZNx2nuvWs7KcxL9d0MkgQh13OeGxyLX9C8UMVq
2vxHz6+PuMZsOUOz05ATSd2rUYjEnsHIfkxdhKp2XVy/yk3WpOlQfHKp7oHn0DlwE8AyKmfo9690
ghseTx7XIimnJqKQSTnDK93c4HgiiubP4I98YfTdLHNrlmubA2j6Zn9KP9hwzL/mjrc/EVF1EgHa
pt19gd6/YYdP1rKQFziDIXly2HeiCSUWuwEQS3Ob0Gs6Ir8sxGk4Lk9+NoqhR633fZN6adz3n4OI
Xuz1qUjTc7L6OP60S0Kf+lk9uCa+MQpdJ/3rvwAAAP//</cx:binary>
              </cx:geoCache>
            </cx:geography>
          </cx:layoutPr>
        </cx:series>
      </cx:plotAreaRegion>
    </cx:plotArea>
    <cx:legend pos="r" align="min" overlay="0"/>
  </cx:chart>
  <cx:spPr>
    <a:effectLst>
      <a:glow rad="127000">
        <a:schemeClr val="accent5">
          <a:lumMod val="50000"/>
          <a:alpha val="40000"/>
        </a:schemeClr>
      </a:glow>
      <a:outerShdw blurRad="50800" dist="50800" dir="5400000" algn="ctr" rotWithShape="0">
        <a:schemeClr val="accent5">
          <a:lumMod val="50000"/>
          <a:alpha val="75000"/>
        </a:schemeClr>
      </a:outerShdw>
      <a:softEdge rad="25400"/>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Top 6 Ship Cities </cx:v>
        </cx:txData>
      </cx:tx>
      <cx:txPr>
        <a:bodyPr spcFirstLastPara="1" vertOverflow="ellipsis" horzOverflow="overflow" wrap="square" lIns="0" tIns="0" rIns="0" bIns="0" anchor="ctr" anchorCtr="1"/>
        <a:lstStyle/>
        <a:p>
          <a:pPr algn="ctr" rtl="0">
            <a:defRPr sz="1200"/>
          </a:pPr>
          <a:r>
            <a:rPr lang="en-US" sz="1200" b="0" i="0" u="none" strike="noStrike" baseline="0">
              <a:solidFill>
                <a:sysClr val="windowText" lastClr="000000">
                  <a:lumMod val="65000"/>
                  <a:lumOff val="35000"/>
                </a:sysClr>
              </a:solidFill>
              <a:latin typeface="Amasi MT PRO"/>
            </a:rPr>
            <a:t>Top 6 Ship Cities </a:t>
          </a:r>
        </a:p>
      </cx:txPr>
    </cx:title>
    <cx:plotArea>
      <cx:plotAreaRegion>
        <cx:series layoutId="treemap" uniqueId="{65ADA6EA-F7DA-4B7B-AC5E-B76D511F2E71}">
          <cx:dataPt idx="0">
            <cx:spPr>
              <a:solidFill>
                <a:srgbClr val="4472C4">
                  <a:lumMod val="50000"/>
                </a:srgbClr>
              </a:solidFill>
            </cx:spPr>
          </cx:dataPt>
          <cx:dataPt idx="1">
            <cx:spPr>
              <a:solidFill>
                <a:srgbClr val="4472C4">
                  <a:lumMod val="75000"/>
                </a:srgbClr>
              </a:solidFill>
            </cx:spPr>
          </cx:dataPt>
          <cx:dataPt idx="2">
            <cx:spPr>
              <a:solidFill>
                <a:srgbClr val="4472C4"/>
              </a:solidFill>
            </cx:spPr>
          </cx:dataPt>
          <cx:dataPt idx="3">
            <cx:spPr>
              <a:solidFill>
                <a:srgbClr val="4472C4">
                  <a:lumMod val="60000"/>
                  <a:lumOff val="40000"/>
                </a:srgbClr>
              </a:solidFill>
            </cx:spPr>
          </cx:dataPt>
          <cx:dataPt idx="4">
            <cx:spPr>
              <a:solidFill>
                <a:srgbClr val="4472C4">
                  <a:lumMod val="40000"/>
                  <a:lumOff val="60000"/>
                </a:srgbClr>
              </a:solidFill>
            </cx:spPr>
          </cx:dataPt>
          <cx:dataPt idx="5">
            <cx:spPr>
              <a:solidFill>
                <a:srgbClr val="4472C4">
                  <a:lumMod val="20000"/>
                  <a:lumOff val="80000"/>
                </a:srgbClr>
              </a:solidFill>
            </cx:spPr>
          </cx:dataPt>
          <cx:dataLabels pos="inEnd">
            <cx:visibility seriesName="0" categoryName="1" value="0"/>
          </cx:dataLabels>
          <cx:dataId val="0"/>
          <cx:layoutPr>
            <cx:parentLabelLayout val="overlapping"/>
          </cx:layoutPr>
        </cx:series>
      </cx:plotAreaRegion>
    </cx:plotArea>
    <cx:legend pos="t" align="ctr" overlay="0"/>
  </cx:chart>
  <cx:spPr>
    <a:effectLst>
      <a:glow rad="25400">
        <a:schemeClr val="accent5">
          <a:lumMod val="50000"/>
          <a:alpha val="40000"/>
        </a:schemeClr>
      </a:glow>
      <a:outerShdw blurRad="50800" dist="50800" dir="5400000" algn="ctr" rotWithShape="0">
        <a:schemeClr val="accent5">
          <a:lumMod val="50000"/>
          <a:alpha val="75000"/>
        </a:schemeClr>
      </a:outerShdw>
      <a:softEdge rad="25400"/>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size">
        <cx:f>_xlchart.v1.11</cx:f>
      </cx:numDim>
    </cx:data>
  </cx:chartData>
  <cx:chart>
    <cx:plotArea>
      <cx:plotAreaRegion>
        <cx:series layoutId="treemap" uniqueId="{65ADA6EA-F7DA-4B7B-AC5E-B76D511F2E71}">
          <cx:dataPt idx="0">
            <cx:spPr>
              <a:solidFill>
                <a:srgbClr val="4B752F"/>
              </a:solidFill>
            </cx:spPr>
          </cx:dataPt>
          <cx:dataPt idx="1">
            <cx:spPr>
              <a:solidFill>
                <a:srgbClr val="538034"/>
              </a:solidFill>
            </cx:spPr>
          </cx:dataPt>
          <cx:dataPt idx="2">
            <cx:spPr>
              <a:solidFill>
                <a:srgbClr val="62993D"/>
              </a:solidFill>
            </cx:spPr>
          </cx:dataPt>
          <cx:dataPt idx="3">
            <cx:spPr>
              <a:solidFill>
                <a:srgbClr val="649C3E"/>
              </a:solidFill>
            </cx:spPr>
          </cx:dataPt>
          <cx:dataPt idx="4">
            <cx:spPr>
              <a:solidFill>
                <a:srgbClr val="83BD5B"/>
              </a:solidFill>
            </cx:spPr>
          </cx:dataPt>
          <cx:dataPt idx="5">
            <cx:spPr>
              <a:solidFill>
                <a:srgbClr val="C9E2B8"/>
              </a:solidFill>
            </cx:spPr>
          </cx:dataPt>
          <cx:dataLabels pos="inEnd">
            <cx:txPr>
              <a:bodyPr spcFirstLastPara="1" vertOverflow="ellipsis" horzOverflow="overflow" wrap="square" lIns="0" tIns="0" rIns="0" bIns="0" anchor="ctr" anchorCtr="1"/>
              <a:lstStyle/>
              <a:p>
                <a:pPr algn="ctr" rtl="0">
                  <a:defRPr sz="1200" baseline="0"/>
                </a:pPr>
                <a:endParaRPr lang="en-US" sz="1200" b="0" i="0" u="none" strike="noStrike" baseline="0">
                  <a:solidFill>
                    <a:sysClr val="window" lastClr="FFFFFF"/>
                  </a:solidFill>
                  <a:latin typeface="Calibri" panose="020F0502020204030204"/>
                </a:endParaRPr>
              </a:p>
            </cx:txPr>
            <cx:visibility seriesName="0" categoryName="1" value="0"/>
          </cx:dataLabels>
          <cx:dataId val="0"/>
          <cx:layoutPr>
            <cx:parentLabelLayout val="overlapping"/>
          </cx:layoutPr>
        </cx:series>
      </cx:plotAreaRegion>
    </cx:plotArea>
  </cx:chart>
  <cx:spPr>
    <a:noFill/>
    <a:effectLst>
      <a:glow rad="25400">
        <a:schemeClr val="accent5">
          <a:lumMod val="50000"/>
          <a:alpha val="40000"/>
        </a:schemeClr>
      </a:glow>
      <a:outerShdw blurRad="50800" dist="50800" dir="5400000" algn="ctr" rotWithShape="0">
        <a:schemeClr val="accent5">
          <a:lumMod val="50000"/>
          <a:alpha val="75000"/>
        </a:schemeClr>
      </a:outerShdw>
      <a:softEdge rad="25400"/>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series layoutId="regionMap" uniqueId="{A6C714C7-C419-4506-9ADA-3EC31C701B09}">
          <cx:tx>
            <cx:txData>
              <cx:f>_xlchart.v5.8</cx:f>
              <cx:v>Sum of Revenue</cx:v>
            </cx:txData>
          </cx:tx>
          <cx:dataLabels>
            <cx:txPr>
              <a:bodyPr spcFirstLastPara="1" vertOverflow="ellipsis" horzOverflow="overflow" wrap="square" lIns="0" tIns="0" rIns="0" bIns="0" anchor="ctr" anchorCtr="1"/>
              <a:lstStyle/>
              <a:p>
                <a:pPr algn="ctr" rtl="0">
                  <a:defRPr sz="1200" baseline="0">
                    <a:solidFill>
                      <a:schemeClr val="tx1"/>
                    </a:solidFill>
                  </a:defRPr>
                </a:pPr>
                <a:endParaRPr lang="en-US" sz="1200" b="0" i="0" u="none" strike="noStrike" baseline="0">
                  <a:solidFill>
                    <a:schemeClr val="tx1"/>
                  </a:solidFill>
                  <a:latin typeface="Calibri" panose="020F0502020204030204"/>
                </a:endParaRPr>
              </a:p>
            </cx:txPr>
            <cx:visibility seriesName="0" categoryName="1" value="0"/>
            <cx:separator>, </cx:separator>
          </cx:dataLabels>
          <cx:dataId val="0"/>
          <cx:layoutPr>
            <cx:geography cultureLanguage="en-US" cultureRegion="US" attribution="Powered by Bing">
              <cx:geoCache provider="{E9337A44-BEBE-4D9F-B70C-5C5E7DAFC167}">
                <cx:binary>1HzZbtxItu2vFPx8qYo5GI2uA1wyMzVaHmS5y34hZEnFmUEGZ379XVTK1VLaRz5uHFzAfqiEmCQj
9rz22pH1z9vpH7fF/Y37bSqLqv3H7fTHq6Tr6n/8/nt7m9yXN+1Rmd4629q/uqNbW/5u//orvb3/
/c7djGkV/84IFb/fJjeuu59e/dc/8bb43l7Y25sutdW7/t7N7+/bvujaF7777le/3dyVabVJ286l
tx3949Xlp1e/3Vdd2s0f5vr+j1fPvn/12++Hb/lmxd8KbKrr7/CsYEeGGyY4Z+ThH3/1W2Gr+PFr
T8sjhW+kosI8/FNf1768KfH85f342yfr8q9Xv7ejh/3c3N25+7aFMA+fT598tv+9eLe2r7pVYzGU
98er6yrt7u9+u+puuvv21W9pa8P9DaFdhbi+epD69+c6/69/HlyAHg6uPDHLodJ+9NU3VvnX6Us6
+EmriCPFjZFckb3WzXOr+OZIc2akNPxvq+09Ym+Vf6Xtra3atHppS983y5NHD+yyCvgL2uX6w0tK
+Dm7cHPEGddaMbnXO3tuF0rpkdI+Y0wdxMl1d5O8tI/vG2P/1IEdVoF+QTu8ef+S/D9nB8GRtXzl
K66+Gx+UkSMpfUqk0F9X3UfGG3cf2/8gLL4+d2CLVahf0BanF1+18r18/ZO2IEeUCepz9Vghvs1V
VMBS0pd/2+pprjotirSyKdL6f1/Tvh8d/37ywCqreL+gVXb/i1Zh/pFEfaDisUAQ+jxT+exI+JoL
5n+/guwK69K7m583yt8PHthkFe4XtMmHy5dU8HORwuWRL5gxxPe/Wz18dcQFZ4rqRywGmz2NlA/3
VQUIdX//9fL3gvf7ofLk0QO7rAL+gnb51/99SQk/ZxehjwSlXGpf7zMUasZTDLyvJkr4RNAHwx3Y
5V83bYIOoPtP6srTZw8ss4r4C1om/F+0DNdHTAqlDDX7iIHmn1mGmqM1XDQVdG+6r16xr/bhTZH+
ZV2V3ny9/j8PmafPHlhmFfEXtMzp5iUt/GTMiCPuG6JR+feK9w8tgxYG7Yn2ify66t4mp3c3if16
6X9ujsfHDiyxivQLWiJ885ICfs4S3D8yxpeSiH9XjWcxQuQRYDDwGVr7p+UktKjxN3f/gS3+/eSB
OVa5fkFzXH78qpnv+eNPmgMtolRCSP7Yun8TGAqBIbmvH1EAUtpTq1zeDzf/Ce76+tyBRVbRfgGL
vLzFp43Bszt/kuxC+y4J6rzgel9OEBFPQ8WYI7I2Mtw8tjLiuW0OaKj/flvfB2EHjz+T5P8Tx/Xf
819/k4Sbm+5m+8AuPqHAXv72QVywnQePPvr1PqaeSftVrad3f7xiAlr+m7NcX/EsHg6Uttf538/d
37TdH688pY6M5lwBwoERoIKAfRnv168ADo4kZcDchktACR/hWFnXJX+80hSRKjTMzXzKUKVa26/X
KRIqZxJ1jQJYGKCLv+nct7aYQR/8rY3Hv3+r+vKtTauu/eMVh0/V+9vWXa4rAj8aRTnTCqQFwwbq
25v3AIy4m/6fgmauomMu730adb3ZslrUXhGSekiXj1L2dX4jPCfbXdXM7Sw2HZtkMoWejciXuHKi
8kLLplyfmUTO/SY3XtWcjKYs2teFLGtvDmw+yfqLzLtsshvoqsh4GGst6L2e7Ny/L5JJFze+L+vo
lpe8UZexSpuaByVNW2xF1NKVbxJKurHaxIV0eR3YUZblBdVzgy3HZUnnc1byKvvLaweLZ56Y9DtK
AsB+piNDQEEbpE2zYj1G4BFPdaRpmfaJSvz7aLRV1px0pSjESSGG1umTpY27dAyXtAbYK0iUsmj3
8vIUtN3z9bXmIFQF9zkshc08X3/JuN8qotK7jOY8T8POcsmTwBjmNdnOTWPsuo1LulgkgSe8pa7e
joLPLQupWNTIzzqVVG0eWNtwRy+N9Bt89/Im4ZBP9iiJNEoQTiSqC2hGX8PFn+ooV0kD1/CGy6TN
PWxuKUetPtetrPp3s+f3Ag3432H2HZt8bz2Ain2mVEqR5+vpaaop80l/uZROsiaY4qTJAmLzVNrA
tWkMzP0z62nqU5REVEYwEoKqAx/gY0RpNaTZZZTFg3dV5dlM2Ebnhebbqm00RH55wVVhTwJTE845
iCnD19nGGufPBZyS1GOJ496d8tyApeJFx7rZFb7oOAkq1yn1OZck6sCLvyTogbOv6wojNAOHzIzP
D9et+9lq63H/Lp4RxCoYSF20fyYiYlUcjFnap2+qCJOpLkgSC6b5B2KDjjsQWwsfjBwzQoKpPvSj
WA6pR6aE33m60A0P5UiUvEFm8rpTu6S6uEw9aulrnjdzf5W3hCxJgAa4gFJeVsRzD4NnSYamGjyt
kgra4AcG6FRKsjmvotvILJV0x7apy2jeelHZmvl49t0Eq7y85LfCA3cpoaRPDEGZP3DqRCdRAb9y
d0KNSJu7maqF5jvpxr4V29SPhPrsemi9CVqFOcBnS+bBme2QWlKPP3AEelAaoABDQPismQ/NFPcP
dhObJZOm7rwvSep06Z1MXbJmmHKyCSZg/ZiJRYRp2c6sDibDOHYlU5L0V2WtsjmsPOqqK1Mmpas2
jbSOvS+HtGq/vKyztUA9jRNQI0QIIiTVKIqgeZ/HST9GviPNMn2ZXOfgBKTPCZRFppFLL5gcR7TW
LG/WoOlGu36kddz/rLIoVVooTpTxBReoFc+34Tes7eZW2S9VIT0UxQzlYBmDYSbdLM95JFFI27h3
+U2ZyQolytWlo/LE9zJvyIMmQflaS+mc4KkqXYrhXEx5bcsf5Gl66GN0VZJm6xwIFlbqoOBPfKxq
Uy38Sxsx5ZXbrGvron/bLF1aV+HYzA025+lywHd2bko7b/x8mb2rsa6j09a4IovDclnIfF4mTdVF
QWWIirqwl8Qr3qvSxEsZMm4m1BjmZTOtzshiCrw1T6OxaX4QphQdyTMHACPpG2UUAUeGnl4eVB54
ZtUM1VB/1tLKTIY18deCEEW9MS6ki17LUTTvs2fRC3zXP6STmkY+vprGjqtm14/8xwEtDrM4A3wz
CCRKGSZC37hFPuVtGSW2/lw7RFGz5W3ui9eMJnw+520/Qx0mGorlY5lM86yDPnFjk4RI+KN6HzdL
5J24UmTLR+f1rbr0U7UirkkMZWGO816u5rEtN3ChedByeF+7LF8+LoXKxzwgRbGigBTah4FsZRJc
5LMDtPPLaYLtuMxmfLQLiTt/U8uWtzul+9V2+RSnQGzNw/LGj715DHw7ZXiFBRrDzlOvWsFWV8sy
v5laVTX1zgyODleC26W7cC6PXFAUpWNl6MVROZ3EAmjlU+VXkfg4kIHCybQfA7gNTWWB+V7ODYcp
HNrXRKN0c6GV5PTANXg0VzE1dfF5oWXr4mBiRNdtMNrMFqe8b0YkipdXPMxGTCMXMYq6TQVq9+GK
rSNtMpZ8/MSXfnXGsRdr+mOtzlG81dBI9TnK+AInHFnftfFrjcQCP315G2t/8CwouFaKaRQuyQgT
aDuep6OFD33jGVV+LEVVdjzobC+9e9skDbJRkrcV3bpI2/Tt0PoxMk6dSBtvY79jgw18rcdiCDoW
N+dF5KuribvCn4N2pGp43/keScNGLpM9hxORJMiIiNI6EBGgIYI9IfBDOyRAF6dRlndr5A9gJN5g
MK3rOeC549Nw/LLEh3nN5yhQ62CbPXBJaLKeS5yrKKnGptXXQ18RdAXSOYauYFhWvxUAWeIkoeME
t51yw/ERdw+tgqfq1aV5n40suoomtbo0a1LgypO0ZnxNkc3SErpriqFu0+NFzjmiLhrLtUmhs18i
OjVtEEYvi8QOMpsPBOSjbCKrwYKUkoNU3fCqXGxWsWu/Szhiq6vjdQOdx/s1dB/iGKzbjL1FybSG
OHLlmlJc3aDQeAlFX0QnuV6yTd7mN4XJtDhJx2LVQzOPVl1GzYS70oSvIs5xqdpd7mnHd7XvBt6G
M+oFxP2BaAcoE6IZivEeRahgCg6899xa3ZRTXfR2vubxsGaqzjVwraVYUnvbET9nVTB3tlk+alat
9bH0LIVBJlUW8bxdSkW7eGe414/XQKkO6hh1xuF9fFiQTarUM3AxMRb1mt16pM2TlNUj0loHRIIF
0y4i+AtNK4UqylhAFV2nE68LZdFnCInEsAx/7fWzpsL8p1oK4QMuAF1pJn308eQbqEvHRahZNd6H
odQW2WEPb1niT0MeolVP4upHaeGgHK1LCg5gT1CWCBq2A5RCMgsIWU/6Q9tTeEg3dx0cCrUf+hFZ
LazcRqNnpzZQBZ+h8GKIKkAWJD1oaXRT0b3VqvWjbBd1wkcyQEAO7x1oLFSA0kPgd1OFQvVotrgZ
K6hyKvwKsYIoWs0R59NqCC9LKT7MnJnhPbGlxU5knqM25apbG/+XXU4Y/jwnQvi1CCBJUMxjvu2o
AAdbLybT/CFJZlVEQdfnvA6jkUTZpWKLcPO2SZyq/cAwZrIkcK5JmzNS9HySQQ204527uPTE66hM
NA+b0U7xLUkLcjJGvVCbXFe2uBNZsbj3pVUljuYttBjfiIGSadn4WWVkHTbAj22/G0fpD5euSaLJ
BqokJb3gxFGzqSpnaJhNXe+iwE5+s2RBUg1OTGE85QOCYVjcOBfB5MlMZDvDaC+uVNHNIg7JRPux
P67NmNAI+C2Ku9Mu0UBmoV6KcVnAE8AV69Mpn6M+aNo6U7vB6JhvZOlNy4dRWZZ+7EURRxsuOkbD
Gf2pnQMVd63ZmJSNeRjLIj7RjHebxpJxOY9MRcgxHWnCdrHX+gnZ1rktxfUshzj3ro0l0/Rh6ibe
vfbarvLeo2Lo/k46pdz1ooe4skFtLU3ad2Zaivw4SkEX7RYr/NIGJrecJaF2S9v4X2iZ+dVdwmo7
TBu4ytzcm74bRxLmxdjS7KSLqkb6G/QBslDHUenl6tJQ7eX58aBq1hbJfeJXvIOWJ8p9J14v3A5w
6YW6tk7e4dhbp8i2qkRd69PeRGlSXFRyypt4mw1xNw4Xo4ziNN1Fohx7+T6qGG9OVSaS2N/BVxTP
g3pYCMp60frpaILYE6rpNknklmw+HePWS9LjMS1RbcLcjAIJdqjTXv5pvV7J9hTOMXpROHLAFnrZ
10BdJuhm7k/qTcG0xke3v+ilaYHviEFX78LFtqL5svSNYcNZplwdsxM6eZ7W4ZzJvNfHU5XRsgik
GNa6SKSXQpyYSxSVmymaceIvzGRiZPxmHuux1m+zyMvGYqdz7rH6NO9n4w9vVMZlaoLGmJWT0K6T
Sf5Rx1HkLedCFC005c0NUvZrZO0mkecej5wuLmjapLR4m2Vj5kfbMUMiiLc2pRx7R8patzQPXkHY
lsTJnDYbUueZ8zdVRzxZ/cliVmG9MiuMue5jv2lChz4YmmV+n6KChFQl60uwf0CWoGnMiulF0kL6
sE5oxdUuS8ZVY7zocnzYNulA55R6Tfli6GJfh2bsLBxgqYA3jjvjStxX70VNOrlAfU2m8Q+1pI2w
WpHQlRKi6WoeWouEyX/RYlr1XAmTgZzzes/BFF6V+4m4bxo0NM3OpSmQVjj6dNZNmPqJ7D1YUPRN
/7HLqj6toC8vWexx0i+CTq/9TK9bTmHperlS8CyswPFV8yXyptXBlPNWy8vZw7XClKtqhoHiVpRY
vxmxhwEHMyHjozzOcd58AYOZ4Jqcaquucikiw0MxGhBAQa0TCl08ek+0tAav1Jm3Chd184MyeniN
Cx8xrpGLXP/ircxfc5I67+pR1d7+9q9K3t8HpoDlrzWrS2yAVl4yfMlTVafuOK34DKEbtuBEdBAz
HqfkCg14bE0g94ayy9DB1dB59y4+raiZIxnQPBlm9caUvYWWBlYWuIXV4NhcCJojGkyQk3kFvXEp
GS4WOibNF7PXoK0RQchre5kSlqJHC2tbqZGezL2/dudkb9q9e6goL6AfJVI8sZW6WIWf1JzAT2Pq
1mUSkShcnG1DdHK9eKnouzNIylf17h1p6eceu4SQ61to6lo8h1ERh3e1XbJufa9QbxkX/GELboXe
ekSCiDxdmNRTfRyvjBbZjmlvEdPmgaes2xH2TQfNmi9UxRXcp5VArBDeDQC7b1oMB9YXsmH9EEPs
46OoyBoO5SLX/Ve9ipPxui/iIk53VezD2ZOG05if5O2saXfO976SZq3p9PGjyk02OGxnSnmOl6AC
WCye1WmOOj/QZlHkGsgt84dN3XhdlYakjSMsLrMEZyY2XVGD2yxAGICygZmS/lTbeA3nHvUV1/K5
V5m/ywEWp/mMm7aY7EknLCnLsDCiKIcgamPQhtTQHvcnXdPiA6BRFpdl0+O/8wNJLclIQRU1GI4U
l0PeRSAFRpdhdZrEdvioqmhCFxDNy+r7o0Eqz3YTbxgyjO+Sove3RYkSW24nr4pMeyoNStX0iagp
Q76JC2vz/OSRn8+6InHZrk8K9Lu3s2hx9v2kzhKo45g/xExj/QIKa6Mxj5aPPPHt2F03fExGddLt
RZ9M3EJFvJ6WHBLl8djKrVoIRZbrnFjVR8GPQ5ngq1YX3/OnfpuP0ADt2Spvl6YMHw4OjvubFFSo
F6TFAl7ZCJZXJgBlMavyNa+pwx1qpmsPO8i+BaO2J1kWKgsX7fqqcRE7jaNmwTuWPfUWoS0Ha9hI
kYMvjWiO1rcs0TtVYVeAmJDnJaYGkLQTY4qpRpz7HVIlV9GMmtfOyDTZDp3tqrw+5StVwHo/x3Aj
K6oYj7u5gJSfRsCzyDsbo9a59NLwbCUpbY9y91rnEVfdOwEaa462U5R5c7JTYy2LdgPqAix/oEEC
qc8i5hQtOYqhgfEXTyyQSlXlWjZKGa3u5pijcL69JrPOgonmKUn5cDYusoz0u3zpR+/KAUyDVVjq
xqjPyLcgab2xXqCBTJBVhqiuPCT/x7FFkQKvAlmb0o71Z2XmpKFfxFSo4lKppp6jnWC27by/xpRm
U7RFReOFDNoC/LcX+gXV7iMYyTHvPpC4yeI4jOTMk+n9qIFtmjszpEPDPrWRD2ri2OX9UJrQY0ub
f1xEz4QNelSHCc0+pRaYUmtpetrDy8vMsHDARU8PgR4x6ps2j5LsbdnUGQjiEIcJ5lWsh3RTFMOa
/8wcr9kE6H8N3rQt1zuqB/Y+yth6TVLi4Y45ntcbIw52otyic19nG2kR1QjlGGgxuly6mdbbDIG6
RqUp128eXRaYEpnISEzPMAJ44MPXdOrFoZtmx3VAmSP+2z7R8WiDkVRgz8W8RIadjk21RnnsLSsd
2GLogw8BWNadNguBfwuC+cMleMt155gp4dHHhaQzKGkNXMW72ndsVZotOg+yqu7Fu3yfsPI90djg
EDi8wSualYRsnXJCbMq4bGwUJI3qvas+lTVk7kaMRYezlMUrjEvEhDX0UKzb6h8CzrM56kgQyX4N
8pqtc9tNNU6rT+poYXkayKStynKbZAWicbdXCHjgNenlOAGN94qWetl5wnih/R8QXwcNPbgc5Ad4
MENyU/QbWjnpMEMAX82uEmsVdq3jeEI0jBZptvHEGkHFAOIlCYa0Wff+g+7ueW+3Lq/WwQlZTxVj
/YPG1vWT9cZWg6rap8YMHDB2gT4AkfTyUgcEOqKJYOqItUBZ4b9qpd6eTMxHP2/8CFDyq4+QfLI2
bOpIiDfaYGaFjKyS1ah9msHCVjgBkz0mx5f38pzmw6884D8+xVBS4XwB/Jw930s0cAb6NouvDKZq
6nMq6YrH2xZnq7eLBXT+kZ6/XRAnhEEcKN8wkIvmgFfME0doUZLofTNVKBRxjop/quccae4xsl8W
kK603b/HO6uE4G6J1BjmMopx1MGCU5GJuOoK9f4xY4zJspL2s+KzlLtJtP6wy+poce/6kc/Zpuyr
NZ9zh9TgtYtAPfrBjp57OnaEVso3KF7aSBykOhyLzYZ4o555877YB9UIXIcYn/o8Ql5P/SGFCRLR
r/Nhw1EcAC28ZN1IVvOmX8KhQWe/kyW3kgQTUsscItU3uB3xEdHLdOboJ8NxP8+q92n2ZSHWcHii
Vewf0xIBh8F5FAEC7oB+G+dlSt0i8xNdeS6XoS5LzT8rB/v+yGO+XQrnAnwMnHC4HD3RYWSWESvn
Plbxyb5yDhLNPMRmTYmPl6U6GAXh7TihYTA7Xn80YBQSwfNwqEiXRNlUm1uSgVV99AKm8hXZOF6u
3c/oD1UZklI4pgPtChDzQQHk1IYdryZ9nY0EMfuDfe2PiDxROCg3qMDg4A7hiET8Nuj5zgjBeEOn
SXvsFkaSdsvktA71exyb7O1f7VJhLhzaNgZFaYIyWtB0BZ2MO1qeo+jhaFAc2rwGgXLBBFp48raM
ZBzbkxklVtrLaEpzOs1hxDC5+dQ2TYluwmVMVM22LPqFdSGxRLXlxncSjNUFn6jl6q3Zj8VyBUzP
30RVSZvpdR4ng8FRnn5QKQW1kOEIyQnwuk7LTeFlNVzksc5rD48lQb6vzgC6PnKuesgGe8SeP2hz
TEqGDIgOa62m48A84ELLfMDtivVQN5CK6vUlb4t1cuftIUKNGSPsRmqfLmmQt11Jl6BqnanSjap1
kfXBV+agQfVJgkc88ABEMKAaod+l8ddaqJsBBA0geq7YtvYtlixzgPPhjID0T+OwmMoWbQlo8SIr
rjnQo+GXau6MqE8zRby1p24HB7py3rczZpxb3mySvC/BXoLI0CDrgyzpfBuFXm/jkZRBw3Gqib01
jan1uI0bJWTzQc5mWOwH0PbrYAhQijB1absWXPyHtAZpG2/g55jK7xLXUJqFJQV2+2tGB9f6Z1JN
I/tM5TR3/iXYp6h+VxmT5WybVa1H0FAStB1diCNmGElvKzvDtptxYoubA+KhwR9CIBwq/XAWczRe
5Kbt2iXAVHdM0ZQa32G8mCakPRak6MYvipT5nGwiAdxaBaWuSvdnBQLD6wN/P7l6RLINxsqxuvBL
pL9sVyWFYj3A6ANcAX+8wq256tbcvXeN4gFUVbrI0fk4g4MldTA4okqK4zux1dgGy3MWjLk3mA/I
hda/qivjFbsylbEMkjger+Scymwzp2N0nIqBn6SEL6elm4YTEAL2vXaKhZORyaVOu4KAeh3chwhO
fSJiadsA0Zd8yVxd/BmT1G4mQyO0dAXvjtEzgplhlTz3a/LZ5gjHaqzVhRrTeqNFksC6xHO7TE9i
m9m0f7NkRUe2ALfd1p8JL+CxqrxN6v6KUVGfO+HF5+XQdlvZgsnFeY74ZLC92SRm9N/pOmkwHq/T
u7Rtok2R1HEwi6rayMg0Z/7Cyt0cVRimVrUUeLU/V6HIKr0b8cpTH23NFzfZ/hjHB6K7xuTFcT7R
Yglmk8ldkhF7VQtQ3EEBpqMNPG7j63Fa/JvCqyQ64r78MPos3RLWkTNBTJIG1vP4hQDbtXNdi9/9
ZDp6Bw4uxbGfjps7iokJ2gJa0/cDy5J0V8+Vt6Vt2b1vB4G+Halg085Tf8ZbN+eBLEc/jLSJEv/P
dGBmPsUgv79tmcjo1vZ1h24hLZM5GPBLvXu/k7rceJHnzkqDqf5G0C57Nw08R7tR2nPZdrQJIz+x
NyRr64tJC3LeKrp6aCTXUWQ8jGcTUOFrovPhFCSyd5bmPGEbH9nvjo4jr4Jl8WmC7rP2Po11M943
njeFLKXLTdtmlmEwX+NY47K08NykqIsAB49cv6mXMZ/OVB83cUBonV7OVCMRozMJh5EX/Ay/1Cnq
Mzc1bsfqnp3LopwCEKYf5Tjfkj6KLgVF+Axt323A0JE0iKdy0Bs5W74Vuqsu60S4T3M9AdoQTInj
NuhzHCXIQ53Gsg68nosbDHhtwFlRHVv02wEjZfduolX+rk3mLg/zrouvm2Ru/nRTXbKgmfopjKir
syDD/jC49EFdIfCmZAnF5I9vDWuTIqyWIbvJynoJMCspP+KnkU1Q1wN9Z8DFn9bM+WHvSHQm0krc
tL6aLjLQ5gPYe9Fj0agLot5r0Nj18YXyPZsGBc3NjfOAqTc+YE4WyKxt3qpR5TskeqVCky76pKM2
eYvjLjgiMSbumtmqPh76iR5n9aBuHI+uR7Sb10tTLv5xU4s5yJoyvp+hkOOk032/BZqarzpnZBQ4
0WDwmcddQJJhOFUmr48bwDkaxLo116bqzBc+1fxD5iL7ZViG5b6Hg28Gbdlrgfn8MUGl2DRT010B
pnmBHKvhwnNt/nkhtjrmBY1wwAms7GUyE4FaNiEjkSz1QavIXJ1ozDfCuq2y41z27hpHpDj2P7Az
Siq+yxRvP4Heat6aKnEndC7MVVm65Txus2Y7aaRcdJNlelkJ0p25XoxvqzZyH5zvi1ueD0gOrJmH
SzGXCB5QQ28o7/rzyenxNB0nbkF/+NVxpEqxQZeJk59gD8zp4rnoIooS925hfnLt4+Dkp2bxuw8o
+PEJgk2/XqjX4SiQSneFieQFBsWUh11pio2/zBWHv7tqt8SefZuDyX4bT7ZuQhywIDs3Zs2nuutF
jB51WS6cEf05zvvkaLJL+yHmiymRs8tpy3Xun1CMzsKhXsQbf4g5CG7n3XkRw1Gui1mKJTXhXE7o
CTa6BzPsX+SSD7rbEvy/HoouKEwdXYxeHb8FWVFcemKuPhadu8EzMfjSlH5sSyCYrNfZ5WQynGKU
NU3PjK3Z596L+jEskpG8xomZ/jplw9AcJ6zgIjQJ1eciss7fGVJW5qxM/HqDcahYggFj441vllIH
2dKZISh5VF1aD2Pz89lrNHStyNi5i8YMmJfQydHxtBJN+YZPwnunK5PWoZpcYreJqd37LE6Hcvv/
2DvX3rhxbGv/Ig50o0QBL84HSXW1XXZsx4nzhUg6CSVSF4qSKFK//qxKumc66Zk05v18Go0Gkrat
KhVF7r3Ws7bhnPr6pmvU0FTE9BRgIechOWR2mrZHz3qz1Idr6RFU+egQmVG4a8Mq1FmhtTVtGWao
XEraLdzeQXSQUxkvoXhes23w5RC06S2oNx5Wa4gS8WZGPzu/0AZNlME+YvRMUxROogedc7Rzmp1p
5IJePm+x55EtvBuDfDlH2OyCE0sgrB/G1vemqu1El6ecCCUBsog2N4UhXLSqJEnunpoY8EkR1Un7
ZvAh2Q4r+jVZBtkYBbdrLl1fRgZy+F3WYjutwJlt1QCB6CyjuSmRqVPnmXg3yfvWkzTfYtz+PnBd
BbmjU1fYSUe0u5/nRLK58qlM2wg69TTgeWBwCcsl9FG3S8KlrW9VDZOz6HqopeU2u7Ev4s7DP8kW
qY59k9BhJ1a63qkGamMlXeOOsUCkvEpZUGdQlqQJT0oYDVdvoZkvohUmcjpH84XQ3GVlJ3kyFVmi
YihakL5eQk3MZ5ujNImN9tFhGHgY74StoyUqUcLVZChhcYPoWousTh89SYYMhdnCfNOW2ElnfMEQ
kMY1v2ETGlm6q3WrCyrG0OU71WVhVu905AZK70Ji0+UtPNGOH+XIko/C2g/bVou3otYfRK6pLNAm
dE8rEIkdZ9wcAhweATaJ1MBFyrab1kftxcTNsre1yUs96k0XGWhHXXQd7Z5M36aVMakvFtYk2F/t
3P02C77ts6GFGyYcv4NRx4IydNM6VhsOm+Qhn+r4KQOHY6rGQjLBesCCAandrJ/DQas3euwntpuy
TNxOQz88LeM0i93ihOUniK8iK0jn8lM3yLGK+rHdq5FToNdBuMvnerhRnJK7SLnkJtLw/gYxwQPO
0RZVUcTtx37JlsPmoqgtggyHcBXkdpx2OkyHCzC8dT5ps/Iin9bAlaMSskzSyeoiDzsOFBNc4XKa
Ury5nYdW/LRxRNI57OPxIGFTVQYP5VpsXpkLTnkc/k2q2qqRqC/wEvgjTp1mv2R5Wi69rl9kI8IP
ELDcHuxLfhiCvNtnOpMPRAamtF1avw/67m0rAVQJNG77LOLydVijeShoPAyvccDNeYli7gpunGRl
A43xzHWENy0CCMWNsyWa8Pheoi052zVsflN1nH1QXITvVRivtxYGaEX1OJxiKK8v0LAjdd3TnC5i
GYx3Kecx6lZsjtdFmPyWqGuT7vvuemq7aPo0WEaaXZs28BOhyQ7pqad9M5STadwMy2YboLllqwzL
uMU+UqSkkfSu1VP0qa7rWRVRi9dQyDarWanwc0uoSFgTtdf01KVLlFVo4W1rUGspce70ML/T6Nrq
Uuk4Dj7g4F1NkRO22iOZVVrNWpJjM9Lo7dV+34ebVUvReKLvKXXy02KZxvGAznM/LBxQ0cBpfAsH
zNxoDzajMAIlza2bFv1JRbNryglqnS0a27rf5tnjWcFDiT5t0RADP1uYP7aAsWV3vbTxGVqvAHnU
uA3FPOjLLwlITL7vsnq+STz6t4KgHJmrlo+E7sjYAZ0NNktf5qltXzNtXammeKragIzBZVmz8Akm
FcsB16CGK9J5rdvDiqLqjN2vX3durGuJUi5H6QkYggyXuF5DUi78CrT5LqB6Z7QFqA+wA4uoTOqu
lomyewHyYcw7VUqFIs3srm2sLbkfmwg1ddzz7X0/Lb26j4ZwnSp0FVxhS8vTYdOlCRfR+gMJItkn
9+kSc1aocGzijy3oS9KXljAn+R6+k3LBnaqHdMhLdNsu0cWy1d20lBkOXOqrGjYQa4sFUHTiq956
3qkbzzgknXJa0IDph9ZCtYoLB1o6X/Zm0WPzXgiVDKJa8ajAjUBKKO5NYd04pPNeoFbrT0u9kO7r
NE7O0l0NjKjrd3SEZfXEgwgWxkGDN5r7yviEBPJBLlrhc0gIqKNFAgiGlG5Bi+Ptf+lIngW4j5Ps
fZXr2tH31NCofvqueRJ91e3nNr8qjFHInb5BBvnqgMN2v9oJeA637LNIeODSA/DkDc/bGE5587ro
tSZ10TMIcASdLZdriiMC2/H8stQQFNjtjILSXQKZBz4pFzEtozpsMInwaeHIk4P8FLOlt11F23nx
/U284O1tBeZURdFUgh2JO/4Uz1Q36S4F79nE52BZRj8A52lm1DjoHcS415pJ7MdkHioFmOcuAhOF
0l3n2DF93qCIYsmhmbPOew0x00KQbEqQSUu7JjvRu6Rpd3oFuJJDO+gHdruh9GM7TtqUw0yyPNdL
ESZjnuwyv8XJAfZZ96LZ0r4lgFTmIhoQiiuSBc/ODtBG9znoFaosQOS1UbshnfK6sga4hyu2aISH
t6WL/warn/NG2AckkuwRcmpzOwQ8LlWULncy9L7b6bgD82Rz+KmatE8yd2t2GlHCZUXca58Url9V
fzBzABjQMb32yLhY9VlvAVfYWpOOFynO0aWa480/Tg1ZHQoE0u5QgaJD5FJTejBpMncV75j7RDbu
vC5CsY7hI1ONohVGsvW/mQA+cDFJi9ag34hFN2JkWO9QTpjpuNRU2c+CuKvigoo66stN1WKP/Jjl
ZN8tIQPjEo15X/IgGYZd4oPpGE5D9traNoFgmfFIDCUExYaiQ838dOlYGixVFNBlfg+CAPQBUFDA
aiXQiNGiQAoj4DkQty4CnXdXJCPq8DsH38oVa6yyXabS9kzENIAIXygyCkDUdAcCIvLLVLGe5nB2
yFwfgP/jg8mcIEUMRO046naU5QLB7NMG3x9rg+dvFhIMeJ+b3qehdg8eH3aV5JzlOwlE4QsBAwTx
UGpxS7ANTx/QXK71m0x25lp1xVFzRAWTnk2S0eYTtsjYH2KbyMdhjfkdaEPxWZgQd56tmwP1xRco
I9vWuEI3wfqWObo8rKat8RYQr4PJmnUDdtOsA/OvaP4YQj7MqlwO6ymEaNFUKxCTd2ucIN9I1ZQc
+0RKUH6GPo1cDPs56oP3qZnCIs+A89Wm3QC6T5svECPyF2Q9o6aKlskiG9X24Mzzxub2JFIDyGvq
N1CVgq8OLzdvr4QBuuFS95mP9jBaYFcGMQKPlbCxxdZLEBtoillnoPRiMY0oCno/3cWLXm5FFFpW
BVTobA+eQD+vLpsB78493iVM9exDYmomig4F+P1IrhXvxBLWF6ipfVOkiuegOtTY1BUOdAmACXLJ
w9ZBASi2VOt0pyw4tSoOuma3jQ7fIyioNNAXna5srL+uU93vIj65cp2pf82wW9gbN/dGV+1o2eNE
zbzgcpSOaAgaqEBdNNzFLY9uWN2qDLQN911hQp7fEFJHn3zbqLMjenoA8iZLoFTRR4RLlh7huiz3
ZUMnacpsTRpfLauXU9EaNvPdUjesxf5r4vZGhpGn+zld6QvhtXYXKFcqhhgwdL5odRe+NjnAgaID
z3AZAGoEu2ylHk1BHiEcMPKAdrsulPWzos6sJc5NVHWoz6s6NiO73rf0fo1XyNBxNPALa7v4/QhY
QRR2aV/jqRvem3kYCoxjgfYIMBG8kbBY8q15FWQNBGorR0qCyuPOLEjJTNBdPvRiIScj8VBXplHZ
/bzMw3mmIyITJlO30AWyI+EBe4Fi3GRYBiL9pKMt3rkkmB6t8dFJTcMcldKy9VqtBR0IlB4STzZN
7DjFdZ9WW05QOHVN7g49jWz7iBRvUxmIW5XBUk/KMabLDuVLeNP7oQZit4bva+7d+5zPYaGnJUAC
kapdx1r+FXRuUCU0md8ylPuHMOHhpwEg9/sA30IL4nDjQM6/R3SF3Tl45QdtZzx1bPkIznd+0Evg
ecHmIQjxHGwPuSAKFU2YdAecB6ZHmzHFFcvAeOC7b9cxMu8kxI6KOTQqI7LOW+HqcHghrE2eZB0n
XZlA1T9p3YfIfwJYVHH8m1+g/pud0tCDzCccUKqzFaxkhIHeo6MdOv1okmlI6P0s6xG7/MTYFfEx
I3LZ8Nqdl90IrwG+3XCfeBAp/rBGiDxEVTwEbq5PwVJ3cjuBh/bzW964lf5G+2RQRzmwbk5Knphg
JhWzNFkNNi8FKAReGzADmYdNGlTg18INZSMLfFMalZrAnRbvoGIWaeToPkn6lX1I+37GpjJq1boW
+xitA1qhzoPdXxGfCgEuJAGqBKoXZTzgJI+MNh4a0OAJBVFZ6+FLMBKfTRW8XfBuu0mvXtVAXRqh
AN1owa8sNtbgCBtESLEF4xsbsxktTBO71JiXga3cygp+JkPfh+RN4+RFymFahmpaMQwv3AU6Xqbx
06I2G/oCP0U3vlyHBCVZsekaO8ORI20o8xKK9fWdJKkI8vZQC2ez8d1CxBbRouFM4f8BKc9Sd0Pm
CQ3zjfQTb9PSBTnL7P7X9tyPhi5cQwALAazDa/AU6d5r4P/Phj6kMjYHgO2/dIO+RnHsdyQjpr2B
rztldbKAoLKBI8gLNBIW3d+8gB9N9esLgK+NrCkmasIlhCn04wtoqEeURzTZZ/X9BXTfQYlO5S1W
HBngi313Sn+fn/Dw3Xn8Pgfgt0EjCCLq3ye7/vOP//M8dPj328zRf/3l/7uOmf3jO/7n7o+Jsr/8
qsOX4To7Z/r5i66v5p8/Cy/m91d3naHwwx/+Ms7hPwxs+D6g9j/8zx+mOfwwZeSHaQ5IZCFl8888
9F/mOfw8MPbbKIfv3/T7MAfMZWAUymPGkhD9DzahP4Y5kAxzT9MggpOSpVcaJgU68vs0h4Ridgdm
DMJ9y8IrrgFSA67tdaBDEvwD8zziayAG0BwOevrfDHT4cS1RVBp4qDMaI+VBczAxP8WgQpuONgjE
cEKnDqhO9YLex2bVF9D/rPrTrfl9Ef15eMTVTv+Tqf3tWiAhAtyLHImKn9etnQL0NizsTxkOxctm
fXiRS5y/eNyB23Hc8t2vr3d9Dn66HiIrCInhaY3+Gkg2BEMsNAtwvQ7qAIguBLIL6bbwMrskPiGL
msY7lKMhUgxN9Pzri/+4S3y7sTQAvpDDvc+uCfUfH9KRBJMbQF2eNjPPn7u2g6rcog679eHmHh3f
8hceBX/3lv/NLaa4WwCNMPoBNDiWzZ/3pnmapVlZ1p1MF7oH1dbzZ/ALzYba0rgHEfj/+oJpiEWK
y2H1YhjNz2laefWII5jsx5rw4SZjmlW+nnOc+zH5AHg6ff31bQ3/cl8zDL1JGUpccEV5xH7aff0U
BpvgV8d2cKMqlpRP0f22jYFFoYzwYom2IUSt1SdXzih8HC3tX3okM9ayTtXWXy2d7HH2UbRAl6QL
rChdT7fQSd17H7G/WQWAB39ehBlFmBfPfoJPEw/7T6+37xCFld28HGkGlfiZdBHlN5NoA/Dew8gq
kBfheoab5durF0HDZzyD/pGgCDwC/UjTczMhGNlB8fooYI6mRZ1e5ywgjo08JSzJC+z3rj4DD2kB
TRobXroIyiAUSrqF1RJNQkK5b+CM+2hje01deEGlSMxuyYLhBiNX3GM4p+6BNzns7M3YgX5iqNo9
4gGbszsAbJG8MTF1Dyl2ibQCs6TyowwseSfbOgfcde3WT4ZLRBBRRXoihiICkxJ+wSp1jSjCppHu
bk5ym7xxvV9v+6BuIdxTNBM2T5Ko+LYRGN/hOXV2cg9knd1Drkb4h46P+nWRkX7dTBCfUiDXY+ms
1a+si+1DME1Ivefjhu3LQQjZydDQj3CG3ONg2jAqOsv1a1zP7pGMJHym88KqZmvoR4TDo/7U+9y9
piiIlzJNQrj8E6fucUkM3qlWCbD2dsIFgZHwlwhymKkWttKP7YL7yDaL+2aS8HnJ8aFtbMxfVkDN
H1OSusdGTPkOdhuN935oZlbmjtS6mADSP35fq7UU8VLWcbMud41y0+dWDqQpEoo3G3nERw/TirQ3
KntUX+c84013Asg7djPKvZwtuxlEwrsaOuML09hPqxmZHbfrfIJ1Yvs0+ThMTL/WAu20GLv8Nvcm
f9EthMUi6RusDDCYpExgzN0Y1NiIh+jBPSyL12tlU1CiUJEm/eqcBCUvBrUB6MZQAlHA+oohokmY
5+Ac8F5XtC0FE4M5frv/iZsprCWWQFzL0DUzUk/liOj/5dvXoPvuy84HEvvGVh8J3uubOptttYo8
30PYxwKur49HitSNPsJg5/wGXXegSzutgI1Gx/LHOMhCg7AyqjR0jy0L5GWGf6lpwTpQ/k867QN0
anxw3O6hlPuCxwTf0LdNGJzWcM6sQ6qD9PV5gg1IDj5ArLcakV3nj+gNaFvUsEx00ddI0N5GwHtf
Acivny0cPFuuctqah9WTaH034fbXh6nv7WGKkCwutkANBQEnBWMGsC2ijhT3eXrWMa8RcvDoF/rc
I5PalkhZuxNyFwkytDK+UABHpbXrkefe3cxicM8pwillrTmacYSeLgk84xKFZvh+CqKx0sgnFrN3
4T1J6/lxrcdJFDO39MMMlj7B+kKqoxR5424sEKxjwgbRFRACBzgdw3ZhZhGfUciHlxQd47lv6vSi
gz7nEGMTfxv2a4cP3BHIPBtsyEOvt/lz3qAFqmBKiabC4s7PCUeUs4LgDSItzDL+EveI7lUhSd5i
EAgpMc7gYx/CYZUtCMPjiGiBxRfGWHRQNLGkvKLT5zrEHwrsy+4RxxzWcsT7ujmmhOOU3kxz8NOs
X2k45y+dryHFZoJ1FAEf6x43V/MXB4X7opNQv/rp2hcgLvzRDUy8SJpiwxwi9Syh6L6TBulhkOcU
ofMATUwD+PHEdA47Jc85hN+VDc8pOvytkX0FEDoR+zDuGD1T8H/5u23S4YfOELKdNlT87BSj847X
MtST28eQ7NQ5jeL40yYsTXdQus//cqHNJOsTkjPPWV2P/z9ONPKa2RMQSpXBKltPNF6IrWLoiT9Y
0n3U3ztYTcse2DomRvzoTSc+GuGYtQn93ZvuM5J8goGPr9c4scxb5Poi/ilna2MQjdN82G9saNoi
EmpJIFEpctu1zYJb13FdbOAP3/uMDccm6dl9VsdBJfFUHUD9GFV6yD+viKeiFtEzZbfx2pBShRYf
K2KBZte0kBV2cICFuRg2+ZOPJbsAAcxfDBw9NK5tOn0OWpnfUo4gaKHSDYtmXLBSJhGwCvz4dSkt
oq8rUQ/hBZM2sJeOKQIRhczxcyzM4kM61/nttOKjKVvE26F6LRKvKWOITjU6wV/UqscSdLHIb9NW
A2IUkcJ+D//u6GuLfdBSMU0HAEnsFiwDZrcA4msLicOkKzFC1D2g/8ezRNexPWQe5zgmuDWHmG/J
x81LbPjftsCsXmCsIH5wXfpr0NYPGFgG0Q2if3K7LktwQDhss4WZyfS5j+FKF2FscPJH20g/Zi3O
xwmd51p1tGlNhfhkW1ctSChUDB4tyuH7ywoxi6g9jLVEJcEJwfGVAf26GVtjjtYv7mG2qH07iIy7
cGt7f47WKO1BEPkucXfIgEVxGZh8eF2jUdf3EbV41U2n8V5Xu+GSvWl89phA0Z1wWqRIVHVIOIpR
QXlggUViUbgkPS8KsEoJ680/cTLQ17QOsbF6Q+Ttqo0DsflvaYRkwzAz7IuwutqBBGe91OQr0v85
GJA1dwVeM6qcBr3WS+RWLAvWGpzkYz6Hz1DhcDwJ43q1N7DbN7yS5npHoQiBbaMex/qiGcWBabBV
PfHrJyolYKlt6bDiWvABFyQj0TXM0RaAqaCTvvqZjPLgJSQekhbuE0rLJ8gbZHmyKZI4umzWWtTs
sVWIbeKo0uARIDqL0Td7rxoiQrjvqJbFAaNkKKA4lBttgCh9AwpIlbztmgr5DhiFKVgAuEuoQbKo
Ds4KMu0FboUtEfPEZCnQWpXD5IRzKzd9h49/fBwYdhZla/Lekbw5E5juAMdqHD2YO3EUURqC0cjI
vl1WivcxplUfQFQPshwG5MRLUNZvBMOWHhux7MNAhBD9Qiivzo2nASlKjMFow8cegOZQoAwxBdT7
BhlKVCRz2qmvSCvSPbMDP+bb0EGRHi3s9WFaS+wKX3szfiWtv89dsp6wrlEYgCy4z2cd3NPO28oG
XZlOvju6hQJFhl365GDk7CUO0UqONTxNxCaAOSV3Llr6N/i0cS73rj3j5OsOSacIDId4LlmX7kTe
3i0KqEWMW3UfeC3eapIur2aI4stgOzmUsQhQQLrx0OYtImsWcnL4iMoPajUE2K805fQcw0RoGqjj
uYRF3UNU5uxI5PaFjik+kAQ6FGZuUXBoSBMELaJDnlhdEpzAU+EXe91B6gA7BM4r7IazHG6WMSIn
IC6jvptUi0Xa1dhtmtRgRW6W47Pnrq2nB68wQa20KLurX7dR167jh9aYQYjIYgphAXFcxDx/7BM3
QJg5Tjx91PRb0W8hUhbmWvj++jp/6X4YBkZCqAgp2n6A/dd+9U/hF/Cb8yKHWR/bHt5+sWRZ+DxO
hkDLA1F+k14N5/O37fDX1/1L64/rghCkmPQHzRKd4o/XRUvexnJw+uhkm36cCUZTdJNr3X7FzDSz
G7reP6Zpjb14tNcq99dX/zHyg94f/+SA+pF6SfEifs4V+ElCPQE2ckTuHw0I4KnoGfPfhhuZTdjt
Z6Hx30AbtCXXyhsDebC5f3sJ/6fY/duZxn+ao4pBxViEv1bsjh87jRl/5suPWt+37/xDtgswij0E
ko7sUvQnyQ7zVymMORYwVJ+IxWBB/0uyQ5o8hC6RxZgORGMIh39IdtE/UsT9kBaPsZuzKIj/G8nu
L89uluEHIR+D37uAEZM/Z0MStJZiBIZ1VD2ty3hLeRGl4uVPN+XfaHV/0QWvF4EgiHwc3ieamh8f
oHmwBJF/th0XBUTBZRMMzMxiDoBK5r+R6f7ytOBSCW5Lhjwgols/h9KGjjskUePt6Cxw8QbO3k0E
bKkA84VKQjTzsQsNObgNp23O/PA3l//L7WQIIUJMzzCHFB/azwpW1G6MroggHmW/Pkdd9o7BVf31
zfyLKne9BM2jDBIZpKufd1tjiF8CHo5HGq7PjsYvUx5iImIUwsTdxi+/vhg8AHw2P27uIcQmBkEZ
g9ITRLd+/OxiMSapy6fpmKCpPAvVhbocctKBAeXdubXJ2wSD9WDni3FGtDZGdV2Mbb7B8FOmM9U0
oNHMIoEwTy2ZOi1rlqPqHWwO3aVtIe5MUy57QMWhhjxSI/mN8O8pkl38KZLrQSC28LVPgH6heA2i
FxhhOA59vnSVIn18qTGFt4prFSPP5N2Ll9zg7BOrgE+amboCBtKh9WrFO1SWGOfSmfgNDHV6T+de
PaaUyMImBh2smMVlsT0w7S7n1cAWTJQM6FWi2LaTYuJuwbDEfdx1X5OsfRya5Ld0Y28QDUHtikkx
Zx24D8KivEJ6Od0Rip/ZxXJDybaNBzVSWGx9iKJPrl9MnSMRJOt77VNSNflgdknULbt1WNOLc0ga
5CTl50jELxkJ+RkZh7nEeDENNsx+iVOSP2PQUVP5UMrLBiDreU6TtkRAvQRmiAzPgErNwTI7bsgz
7yRmmt71Ey2XmhcBR3NyQ0WQqt1qMBajFKsX+WlmcnH7Zsjy5zFDiVDDiCgj1mS3OpAyuOkxsTDc
9w4k5tsE3d27Wllz3w8hfg5zLnoeQmVvWtMsR0i7U9EYM3f4VGl9w7vRoKIM6C7qR7XvECpDuTfK
h3EAJyxXzIND8xDtLaYZvcDAhOprR4x5rptoeV2aYAxBrvnwlmAK7TOUgm0H7C8s/jNirrfePKAM
v4XoEX/HzJMlVkdEIcO70MXpseuxFr6x5svcw5bu4tdaGeoL1SwCwZrYHZOpyd9g4oc8kFibu2/g
+dL6KpoWf/czfD6kSMQVmB0CedLRBtGGPwh0xOnShyab9sAb0czwOQPCEYoPclH1Cd/2zllxBvaD
6luvb7RXb2UIxYVYSVCB9vZmnlJMDAPzDKNfrG8IX8NDhPT/McRwXEQ/5uRE9TTeeLBIkGCQLbrv
PM4NrGg09QXA6OBNzEf/EcheULZ4aG6tkARaUBodYgfUKW0x36aSHTobxcesGoMRVxMK4CdwRxJf
h2zzPYcyBEqC8VemZnBBTOQHDN1Zb5wEqZINANvTnEC2sgHHs9+RIkpAHSQc2Y+OKgy9Sdv1vEV1
eOvgr+y5TPOXYRgQMlP4HY9pVn+MefwuDze/E/McPDbOB8fIxh8ylOUw28WTGoIEKg/udNxsZzSH
kLa4MsWWkBkz8ayq4AjVZbpJTHoa9Rs58rbqx+1zI9jEijpQvmBc2BMnYtmFJHjj/LKf3SCOkkD+
GXK9HjaFHysQp31rQpJ12J5WgikhZtgv0RB/nGx7nUEJTgXSzKhF/AxNLwfkpGDP9JmdHhai44/Y
t9mp6VakOUIkWxzw612NJv06/UhvF96qOSpirv3bIWTtLTak7QTbAMMQI4qeYp2QVEOgY2V8KJHW
QJ4pqG8FghU1DgCo0AGILiHQTLZd2F+mjp1aG71VXY15JTzsS8HMOTGMVNtGeMUVYXeCqy8ciYRy
A4icYf7CRyRA9SeI5fZeJwgtFBRdZoUtIb1vvHS3mAfentIuMscYM3yqYd3W99/yPqiGcOUgl96X
bYoHqCC9k19zSdp34ToGzzzbkjfxJgEYtph0hdQ2oBmk8WPIEPW8S3usr9Cl7jNmcpB7NfYtbnNf
KpPJF1rT/ggMcICWadqlDBOXlDLB7oEWsz0sW5bcthC5R8jLm73vJkaOGPSXluOY/Qb/E8Ebizak
Aq4tT0yy7LmdEOXpaYPEQ5T4MrO+OUYqicD+5TXGewzDzYAW8UhnSu8RO1XQkYX4wOiuE40/tB7R
rcnW7m2InatCOpLtcZPa55iJsKSIYSGdNavoKRmBPa5d9272KvngbFpfUpNu7yaAz5gNvjYIYRtz
WUI971UnsfJ8Jo+JAnHcplhkODy/9mqKCo4JivtU8OmE83E9WQwXLK4JjCy9QSgXvHwVtdPyva74
vyL/74p8DEz+pS3/x+83/FNf8P1bfq/uMX35HzAsEcqMUK0DDUT/+P03LBB4df+AJ44OjmJVoIf7
kymf/iOCrYLvg6MMuu7aF/xR4Yf4tTUYg57Bq08w2DnI/5sKH78l7ccSDgL4tTenEQ2iGCMDop/6
czUtm1qXvHmQChNq8jIOA4c5nUJhUBXXSfIGQ4XMdMAJ3RscU3mY02JFoqBU3A6ru4wxEMoiU3BI
IcGqOX6sGUYqu3cUjoQKyhSFXgEiSB3F1gfrw9yOwecu0CsiCtnUNwwQd82wMS3hIDAep44Us4ch
T8QOcw3luZN9+DWG1IrjZsKQPXJtol3KxDlTyYjfHCC20s0ouigwoIPYhq2K8za4B2iNRDHGqi0Y
JgjTUBVbqw1wnzghbxG4/oSRaJBRriVeH+fZJa1tc2q2Td46lTSnDMbAh1Uu0S4JNBJDpk/rx/9l
78yW40aybPtFSMM8vEYgZs6kSEovMEoUMQMOOCbH1/eCMuuWFGKJt/q5X9q621JEYHIcP2fvtVvP
zxOK1kndUPhFQSjMsWw3luCMV34/d3hGmkKEtPaTUxPliNuxcHfx6H4FZtd9krz12ZVDGkEoU+Fd
p61OSahSkPoslQpEEm16xjXBhItL6l2qcKl0jDa4E+o5UnW10qjhejprUXyPdicCmgVKkZ43P/+Q
Qpo9zeM0PdNFMpyda0/6Ia6sYRO4yDzXUJhKY+uRuRCvvNQST6qdcLdC55FrxEvlUZOVzijJ8UW/
xurvX/v56KHyLGweiWxOTYYgU8IGLXOkbCkNPPUZrXdDDdPyZK3RgpdTiIZ0ClO9tzZSp01aalny
Bs+Alnuc5nuZ2iAmY/xMTpP2YV8n3m0z29jjqiSPQ6gh9W0OofKoavw8etkYt3iZxg3KctrKtqcA
JrSO+zrCTQsnXhqIngamoETVZYKnDwogQNxKExd2DCb/Uq963RNHlvTRF+vAwdjjb7gQtliXQ1KJ
GztvkvowV6lhr3QrVXG1SqBZt6u+lLTHoxx8HphLRCa4rAzbApMzc/VuexkvMjVj8O7pUadj6GlT
IB7p3ntsDmqpI08I2DG3esIuwJrY2YauiYL5COu0peMv4uS1bDwl1rhOcm8FyLjULgaHYS4F1IQV
SPPTi6HqkpMbVeOLWSauQKg59htFU1wdpljRb5UItHGlwHpL9iorzHoPPL8w4CapzliPlKbdXm9L
Dz5amt5QNxnzOmkG7Bp1S2LAro58D2avUCn6wmyp1EQkhuECvXKPu0mzKfES7iayvnIw1jpcjnmV
aVUQ3zD0TOW6LfvSu5zI1bgqpLOwnLw+TGIrVjxxtjasMw+tRqF56ZVW18WwHaIImTF9PLcNy8If
n02Cq8EZTg3Fri6ZrnXZfBv02jdtDireKc2tp7UPENy5ImFEztsOKj3+ChIhnqdoqft81ScP2KbN
egcPoMV6rC8DFjJfum7PSqT4/gZTfQC+QeMzLQr4iYWemCM7rcg6WLVo30bmh05PY95KHQmfLzcH
sR9z1JwIDtQU+kIzTpaU+uUMUeYW/SPvI7LBDA5zzGrm9DRtc9VkWLss/5hpvsLDNGrTdDEZI5IV
C6l1yJHyne9HclMYMW6ulHtVb2MxZyGkV+tWE0pnJwmGLXSDzDzVbhVsLD/Tgo2WgnqFGTkZD/hT
0xAvv8l9zu04+9o2Hu5oJJ2fwEsOn6U+oXVva9vmXUPmGNJFtpAQuwg82zi21wVYablxExm3J/4D
G0+Ehilh5ZiuUPHK9WfapbbUHADpClmX0FeZIlgmnHo8TyapL/HKcduYEfcgsDw1rVVvoq4cqbBq
TJ/2JT7p3l/BUy8eDMVmdRjnJ5tHmMaLnOhKQmY1964/ereukxph3EUq7MyEvW9Q4XKp5s7csPeI
4ItM43RXRdK+KkoTGQ0q/NK4HNu6vpy72c12flOjd+6m5xjwFjhSN2VSY6RR4TPd1jtGTEM29Zcl
SuurWRnyjoY8ou2a71d8a0zMmZCF2IWa1b60vM5zMNyxNYqOmDNG/8r2c2P7o3Xyf/XUB/UUrPCl
6/afm6b/Lwb33wXVP//mn4LK1//iT9Dq1ql/wEf6lGf/FFS+R/q76dIXNUwDGBJ6xX+1TC3jL103
iCejfLHACFv05v4pqJYqzIQ2tDQ4CSinD/nfFFTn44DAJRvLosnoIDhiGnHWzYzHSZ99Ufd7VF9x
x446YIyLdCa4oMkQYFxz2uoid0GohkHy4bCFE/y5H0cNB2PIJzIL5aNDNsy5FLCJZxguU7cbe3PA
38RoykjZESgIOfufbsvHbdu/D0V+oo7kkf7weW+4tbLBMEqn29kGWgkWIrCgMhEsVUbzQVPzvbPi
UgYWClVu+vloZzaQDinb7qDgTOlusuYmROmY45HyPkpLOesQ/zgra5EZ0oZa6uGzCzgNoLcLhwsY
pNRWgzJvcZa5b2zXwriKlk6GpeHHoOISWJ8+GObwDP529yzcmviXGY/+lhfSISqJLNF1CKttdwVV
MdlUONX+u3wqTpHkBRLaQDIgC/ktD0vGviWHJuqXNpQLec9EPIOHlr7eJhMlw/Y/PydnLeIfh6M2
YneBNBlI0HLSP83lHKZeVmJ0/Q6gIoiWvP0OLO6NQVy5YudPZZP9M5BCs01U3jtP5u+XEYKeGSyt
dnDq+nkPPErybPQtmDOZ7jhruKcFNyv4qJl/tm/6cV4mYl9k/XrADGZ5aH86L7unkcKmp99Z6UBy
hKZdwBe/VoYJ10dHJ/TfX8Wfj7b8mp+OxuwIqAv4/50/jDQ3gZfEA4NwkS2Rc0HQrdo8//rnQ56F
PBCMyoOCgBoy/TKVcc+XMpUAaMJICXIocZmE13bxGAOJOeC89dHExnnYN3f0S/x1U9jy1e10/4gZ
ed/HbQ0hJRgwzJvjqh098Y2+tXZQyGxpQHXN/cJ8wmkdr428mT9YmIx37j9eCU83XCY9JGWdPXG+
pHdZ40rZoXW085WtjRTX0+QMG9qVC/QTQo+AXRtaXL2NWUz2Fx3D4A2+RnHldTMCNhEH1zgy4g/e
Befdn8b6vLzhbP3Ns5+WBaTfzPhjd1h00JslTpi2ePoa3+3YOcbyE0xiYBSjC9ekLubqCFGtvZAR
vouwnDrkakuJaUus1ripVpYhaN9V7J4rM1anuDfbK9OdtQNbevJxhg4oMKXbugE+89gjg3rswB2s
AysFT25r3pYYiBSwUetv0Dgfu7wlgkajrdZFTkA2AoEsdv6pH315ldvKWilrRt9i9RgSte66DpgM
NqkHzMnG0zUhJrjQMQk/aW0z7LIq1xbk61uurLsOvw7exDjfs/nsrvnL1d8F1X986X9fZvA1UBjw
1jOE/02Ojifb6Z1xuekyudLyPgFbrh+MdHpgoy42fQ+968/vx7tHdFisGfQwpz2fWwawvAAU5N2u
jSJsmvZSz38LKvuitSo0a4H7/Ofj/f4V9B2P1QbA1yJIP2/UyDgYSOfqux11uFiZDJMO9P+sjW+2
KvzzoX5/TH1mAK6p04DSGQCfPaZx7wzZONR8BfGHnWqtMQ712HsfXMB3j4JygTKFREGu4a9rGqxO
rezgA+80t9XR/XmBtoc17t/8+WTO2IvLOsbZoA1ByQ99hEXt1+Ogg5oNVwRyNyEECWtDZlt3KuPQ
lWQ72JEkegC1G8okKz62/lNrxrvaztOPliWLw/w0K/3xMyhhGD8vw1/DPmu0NU0NPWjwwNdNhbdB
ilhsozHrtvbY0QSziKw7GBUMlVavvxf16N2RS8qE09GHS0LNrCN4yg9zfN79TUsrEW9hQM169lmJ
bU3DkGrJHVbP6qC3zibQexTFVddcRZIuUOL14nPh8CoDClbX/eKbI34Qfqhf1aFXFd8hXQ9XuT8x
Sxi/MAU1103aiXtFSgDyy5TGOYj2Y6WAIendR8WF+e4JkGGG3IFsOzqlv95bsGFBqfyRi5qou7j1
xLYf7fhTwiq2FmyJwwgXx7r03I4vVlseCbF7YWz5gLshOPQiita43IdNotfBbT179YNvz99nJyKu
x0+C7ShiFY55pvGt6ApyETBGf/B0Lrf9t8fipzM4ezrHDm5BXCu5U1oWHzHrVFhskTcjHQ472mor
q4duw5CVJoUa1lLgjv/zT7Dev4hoPFAdogQ4f919xVqinF4u9JgOLgaqw6+UVTeeLSuIVvorTZvp
iTZb8k0uxPYhXkOhS0KwdRAKYrk1dVmHcAe8Bec1lkz0e7GmqavvJofxH50Y47uqDIOl0rv3rHzj
kPcTMql+QoYOZmxw9AvNMYr9XNcv3qDfu4oDQTrq12IMmE3/+YR/L92gDdB6IizVcXV2S78+NEvV
A+CCBaHJiqcqAmmVFaE2o8euZ8fa/Plg7yzbyN7o8FPX84fPo7IkFMmqZdHZibh6C0jK5Ks9ZIjS
/lsT2rLAcCTkYNhYXOYGZy8zJIAeU77Dk9TGD1B1YjwzMzNFPBpgxlQOD0l3Nf9IGNpHkbDvfAtd
/G8L65kPE4X3r1e0i9MGJpAudz0d4ajzbyavuUNj+lZ43Ve2vO4HH6gftefZW+PqDlNOAz8vpOuz
WwjhRE5pyiPLNry66y3qHhVZoaqSYU3Q1nc9wmKaFlMYK0FxY/toG2l1hTrVyp/v77sPk4NfxzMB
6P42P0n7bnCSgfcXFX8X6sJzV3aC0FVL63jtJNnbnw/3zkeTQGXGSHCecf2dr9i0BPO47CduMs37
XYzuYj0T/vHBHvHd62vQyeBJ4vLa5963TBpxbdhC7tgjE04yTDBPKqZDbuRrh1GCE4sHOCRE6RSb
MYpLLP5GsZkG7TTP6JL/fM6/b8rxaLMrZFOOzOg32daoemcmvJkfMwAyTWIv3sp2BpKn4nVcQhkS
smT27TE0r/Ne/+AFNt57gxcpFd5V3LM4os4f7iEyLew9O2XYyVfhtRoTsDburvGxOOWKXCpQkSDL
dDwOajEC4HQtnFDPBJBYGvxJvh6J/rkcEgvljdl1PYPhGAfKn6/SOz8TESh8e1596pxzKWjCsEA5
ldvs3Clqt709DxtbNsGGWj794JK8cyi0XjYiM482nH/e+0kRoaB58JpdN0conizl3c5VUjKFcPX/
xWktdk/EkUtL7bdVTSwWIOHbzc4x0/YWUqa7rZUXnQgvevnzBXxnEeNItEUoET2aWsur99Me25yj
mPEHR0otPQ6jrhL3ZQyqmK/bvALxZ69svJMfLB/vXkr217aL/xsF/dmiHcc6yM/EaXbKNIZ16Ux4
Q7LSDJmnyQ8OFTjvfOipNHSmygFZlKxYv56hD6qqj2eDR8QmmXjrKgXdNk3scQ4JCqmKtdtKM3Sp
yZFXWMOobdk59tNmBiJd3uJI4uVKLXqMh0iq4tEUA64MDEc+7NkC9hpWsCZ5qUfgdzmpDHIbJwXO
P8kEDbYUp2StPbf2/TAYnNHY4ssibNbRkmCXqtabNzW2gwxtUWI8uL1JD5/Bo2NuyQWb3I0F8Mp8
DoDHld9dAOJmjBxGd5PTlABhXQglbfJJFrWhDgVUIeCrqVGScKEL41jO06TtZJ8P8sopq96/tJlb
RreuNIpqy/+tjSjPoKhOq94OcvIr8sGOL32vcrywX3SLW1wCxf0APDI6tpVW77FdVdFKxa0J9i1J
H3FdWxCcervODsR6xGLt98TrLD4MxSgbCnF7kQ1sJzGjoiQqdkiHgjyEQMFoqQY3pp9KTUY6fYdS
mKEonaW4SsnhfPFArKqVh+ttPftk6NwLBxvKDjR3pm7GyBvuYUW23QarYODdEVjowypUQ9wfKGLR
IflTkG5t6Czgh0U8z2tMjsGuavlEbYpoaf/pmhkQ9Swd/xO8ERRJRVlbEOeSwUCWIpx96fe39Hm3
/eCIJ8h+xXOh+fpdR/rUKiqzCV9lVmysJrhGBbetGrmdEq+6g6u8Guwk3mCHTnemnY8kCeQlk7vh
aA1qXJtCvmQ5aTdOb0Zhn03WFoTaq21p42YAK8RvaL2dK0d9E9ipu7PxeqyomJlAMoA8SVtMX70O
e6DdKwb53vAyN66zH6wJLuqkiP0uHiEfbHDJNjcO+s4NnNv0Jif9YN3rqXHyyyK5tEbuB7sF6GJY
b6fZcnaOZtymKWL5hFn7IQrsfD1leU9RIb01UfdOKKU334I9OTSdzUxrBi+Tzvk1+Ln1NNrtMUf3
GOLNhJvbkceUQQ9c514ONt9K8NKl/k3k23ellkwbY/ST7Ty381ppXR9GJm6cmdL1Dm6p+FL5Ur+o
Eg/lY4eNZtK79s3VmgrfxyBCn4b1zqtr59AirF15REIdCDczDwRg+RuaFEfTQLrpCGObO+q51Pvm
GYPxHo30PRFiz84UVZtRR1zW9tFzCfOw5Q1EMjb0XrUdNKDfBEU85IEfHWVkQbiPa3+jZ7bGfWjm
lZ0FCLbZN9ylrTbcNHELZKmf+C5a8gJOIXPtCUq+0kB1NxhsfatL9wTvlPuq9Ic3W4JjApMOHjHM
UWXPat3XDSngbM1NvY2JikwDQMA1AWcrk4fnCc+5NYVewz6CjymLRBb342fBtb8i0zOlPRJVKyZ2
B70nkFWruxrI1+yf+F/qzcQLsYlQwyh5gdQ1HuVnaIiehFFoRoQVhbM028+aYW31DHfSSjP5zTtP
M+tvkzfnYm/lhdmHpd9C+1O14fkXmuZ22Sr3fPy/hRoc7Uh7Vpc0aZt037ZcKUa0VRHOfjk8JHT1
b8wiMx8iFJXpYczcduMEaXNljKa/rfFYAhBqaMYlqdS/unpEPUl/V2y8WS9Ogo/st45gZHdTKBBr
2eik1sVEwvW9PeTRW0Bzv19TBeCHEtGgh7Pyp0/Mmcq3VrQu0bWlNL6QJtGGbNGc66DC/g17Cnst
SYS7jorlwVd29nmQ/B2FjGeDXb05zkv0cDpBOjDhij3RhWMMksmESfzQ8yQkVtA8kzHZfGuEjVB0
0ppnrwGTBsa6I9B66vJtCiXuyakb6FpePY4hhqeyC/tZ8nIUpuasc93Ow9h1nXVGwXXoGycHsjyZ
2M+6oN3m7JvKPeBN/vsO0N5jE43xvPEZHpOLGo9Riv+ZKf+6ZDR4EHD+l2dQG48xian3epkUq9pr
URITDCO0xyqwOUVP5EFyis2Zn+rmA8bNqR8RQ0bxdepjCq91MV/WHZxnOwHkISyREj+QuvdDZzrz
ikqkOboiSa6zUYovtO7MDY0z5zrGX+USclDO27mf8i2BrCCk4O3E10UhFncDSsZrXqKGl4q7SxO+
OeZlQFBPkoiv7RC3gAVb40GmXO80yxX0w0rt/ISLqrW2Ak5mNrfCacVXLNpVC650FgNu9QzjKRXf
3plK/qyG7dJo7eYoDOys8yDF106J9hnBormZPa/5Vhtx26xm4t3B5ULqPYKIVbs+6ORrQHjbtT03
GuiEOoivp3Qh2I8uuszXGfOiD8/OhEqHl38EO35h8FkWIRDlGHk2EZgQwRIczX7fR3JFHiuyBUM5
16lTR58EIiSMq339xY3dPOyA8YHhBVhorAafItLpLROlr98cFVD3MNb64dSWnDy0pOmTT9gHeLIo
3VuCfy10Lb7ug8adke4QHLqqsIhd21ZTHAh6X0yVAU2cMM3H6IhwhP8gGgIfiexYdGE2i7pfzbzn
tLEq+aQUTWvkUPLVi21nHUWqOBhttzzlfSJ6Zi6mc08iwIAavevJYqj5kYWj53d+14oXK0vcey2Y
GxIvqjG5JqcO24C0q/a5aObpxndl/6iLKb9Ll9tttpF/4WQGaAt74EC5hlPf8/DIUWQk17bkquG0
VDc6qIA3fa7TnTbZDqTo1o/uzDKzD42eVBeuNfIX6zm/o2SfPiEBkq/zONjacW5piW+0MlFvnqDN
t45Q+i8qL0OS2uBqY7V2tdqrWMnnEj0K5oI7O2HLtRK9bNShHFCtce48STMyD5Ze1+ZJY81Kros8
qw1yQOb6RoPTC/lUFdxrnaBd4PZW7VdrUjzeal9jz4TjEmhhOWLMrDPj0Y4X8sMoje/ukPWItc2p
uWW1mN9qEyns2jUrla/bzOm/k6E6O9wzj2dfCC6Ly5dc7vQxN9oVgffGw2wW2l3Q6axmnjt8n4Tf
3JK2S+O/McVVNyjIElnU3BqdH18j3yarPFjgHAvwhHUMV7jyF1CPFndPTZpW+m2r+ZI1vs5L51Cr
mouHTeuSPXG0FdipWcSALdE37Sz0hZHlf5ml311FpYh3AyE0exvG/aHhs3lhtXberxwvTm9cW4qt
qGz5qRUD0rA5eYO6wP9LCiHCaBDWVyeIgasJiAHCVhhaLYjkzmC5O4PrtWKiaYd51/Iedlap7gix
XeA77BpAQkINKRZpj1bfg7u8HIB4MIvUU/YykK7HPsgIPPOPoOGI4C1Fy2FReeojqpjEK1k3rJnx
up5ql5MLp7hSTnTvAn85BBPGBxbdcl4ZFcPGBlLPwUm746AUYGnezUs9HtuLKvaqY5xUBLoQCrqd
AFjA7IhfyDlpDmRQT3d5PVivQEKPTaobLGk+/8OSzaZCRIqM0z7B/7CfqLfBBZLL+ZXAW+ZMdUdU
iGYemqj2mJYlFKRDVqsnfxrjO71Kxq2HAdOtiyYMRg0KTNrUe9ibL/T/ys9AySGseqiIWGAIN8Gf
TlK0p5SdLNBhecg1HYx7pCEaRRa4lX3P4MvoAUqqcbxB/QOwNcvkfd9oLktdEN/1koP0TuTd9HpQ
YQWyFJzTyH4J0sB9dGVX7NPUe5wyvdzRLk2oAynloBwqEhAwbV+mPo2b2jAPkTUbX/HsjluAN/qO
WGviuFPUduPAy0jocweNl1ZhrJR7oriwnzLbQa8+1VteJxbgGjTIKnaxqQdkD79BmTafJqgUV0EZ
zKgWSvsBUHAG2yawtw5r16mMZPFoOJ53qwbukgMEh6Rk6sIVWTZEvU6T+D4zajLXIu7SqybjMUgr
7HHgEyvk7EKAFLER7a8ngYqKAcIqQKy17j2Xgh4x2kumpvwYj9W+y4ktWjm2dlHjGbiddfMJ+Em5
5VWE3jfj7GKqR0Hm9Vel7USfirymzLCHLSQXPVsJv0vvfL3FJ1Va/kmqdEHOJpsEL8IKpr1zXQqH
iLtkDAyGFsV8UKoeLhffVkWNpuW8cG51FPEErj+zkBA3+GV579qKbSmJUYtpvx6HS1CS2XMJP23n
GDTgaa1BcmhmQUujTzXwQGCsLxTNbHZ13gBivG+z/BiMqX7nePaxzbxpHw3deiDI9LLgLp9kNYKK
tWu82Ax4iOiR3QV9X9LKZbYn+Dp4DpiZss95aesKtW3izOtGwIrPvCrxV8PQGc8TcJ1DbXpfjdn9
HrV184WKtfhSgPNk0ZLImAtH21o4fzad15e3CjhwWID9ZOgddAuDANgo5dC0H8xySI+k64x2OHi6
9PZebuAXJniyvtYIbUB9iwHumvZNjRTbz3De9UShzjyjTkY4albdmo1f3ropfWQw5iygpFV3r4U0
9a8VkJFXIKUAuU2kmtcNKoCjg5b0Xtkm8s6Wiof7Ro70Fv0fhoZBc61DIeBXzAE5qXwt6Z3NEJTw
1tCQPOAKBBSB26EjwSuxMRYCLCrzunuVvaSJIFVfvuVghUiunLvoiy4z4ysJcXzpa1tBq2im6IuZ
g1Bf21GqkRswR/JVc4SG6WwmVH4z5051XzQTC4NMprHeenE31Fs7GOlo9FPC45GQ6Tqt6qqo7xO3
z0kjgp3/xTEc/k0gJkAYXhZAVLYRwcLtseCih4PkV24yB7lUWKHS8tjETBw0A0kgT+mMiSSUejXg
QxrFmMZbilf+8qwh9z3YI+3HMLFJ9txBxKQE6JiQgsaZyuAiS3QbH1RbUrQWkctd0kgtdckH66Mv
QzsgRY57IKqrKHbKN7PvOWrfWICaRtsKvvx9MZ0Ba9MKCZKRrmepo0zzjHmqIUa49c4imnxN3JnM
0X4vTQG8x9W9g36s2hVpRrsHZQFuTUjq+V4YdIGuMfBNxpYoJuek4MveOyOKCm4h89b1GDWcX+45
9ENaoefZSaJiGHalQvhxGQzd8DZg6+JVMh2RXLqaAd1WDeau6qvqqTQCcmu9oCGsBrDew5gIqfYT
bfjo2u456b056PxGqnJ+dVrhRaCdNVUa8z+sRGvuCe8uvf8EthgQVtgU8Do7FglTvqbsXgglHamI
lRzk9zSTWbEL+rZhgBGUaUbITkpuQgGwgnqX2znvK/p/xzElyWzFc0hF5yS2yA5ImGmiEP0CTmvV
pMCFeafYcPMR5vu1htIAubuCi16uzXmai+tksEj7WkrIwqtMcMxoAz8ZGbnyTVHrR2bS7X4se+u2
jP3pAi1T+khixvhpNO3h77b6/2lQP9CgQjRd5hn/WYP6lMpvNRbZ6mfT/j//6l8qVPcvxGwmb7uJ
yOhvd/4/KtTA/Au1Ae4dNpD+Ig+hpfsv4773F6mhaDQBJy6Zkz+pUG0T1qaFlIxpC+rNgF/4L57o
P5K3v6Gp70vgfh1KYTGHAeCgc0UrydPmnismUccStOEk7ok1q93/IDQ6Bk/WrBRsmq6Vzge98/cO
iNYKJRylH9Oas955zlkLk57lCVmlHxrDmO7mgB2Diy1vH4NS/CDq9te2+d8niPmJ6wWglB7omZgi
yNxZ4oK3T16duC/McoEwZRnbZWdIdz/d+3fkhMvs8t+jxh+H4lZzr5FHYMY6Hwu0CYydPjfsE2GS
zkvqMbB2upklHzMHfM8ZvKaXZ8bV/wfT5J2z5ElyeBp85K+/jXTGJh+Uzm7/JE32eZUv+GTjxgXl
OMQfCjXPdDI/TpQn0EA46SKzZQ7y63SADCdZelNqn0hP4UCeWPhoY6aDTxw6DzdFZWUiOZa0m8ho
bDEdP0Mx5Hs5FQC2dLMKPphC/n76LtwJFzMsogSolmdTZRIJAOfHkX3yf+A2g5KqQ4cdu/tfHssw
eGkQiSOOPVfnxJkFF4stAQYPqG70tNj+dyV0xoUG+ecHarmOvz5QiA4YqYL30HHcnc8TUceA/WHQ
dBqi5E2akBt7k1r/zwd579qxCC1SMR3axLnSUB8ym3loYZ9mEOynzIe0vfJdCIzGnPPx+/PBzrKQ
l0fHRXtHFDLfUi7huWzaj+jNzXRNT5mZ5mVoDRzTiLQFRNsCdfQhhL7YLhReixLlDmyrdSBKyTp8
8DMWtc/5lbVZ9tgFL3KE8wcmMg0zitycXaTfmUcL59Yi1mYLLjTJEwrsgcj03MSUpuae0ujHy4s/
nmI2kO0Hgq/37oBNbWWjDmYzpZ8tUXkBkLTMBS/vQuHUdRxCY9XXJ1u0H6Fx3zsU+CGgC9ghUJae
zfXodrQ141jrlJL6dRcEMa8svVuWerpN9enPV/nXpZ7l27bBywJS4cvi/f74siNln90I2txANQlj
JKvtc2UVMFNHCvplaON/8Cwbvy7ByyGX5gpEE5fnbPGr/royiXxGe2J4wZGgKfqvPpvTlWzldOfi
rrpL0ceWG8uhuZb4dNZ/wFBRy+K40ip6TJj5mv3c8Pn7sYJAqhTQsggnmVcRTFCYbgYm7z9fJOfH
J/bfz+KiCwVr4/Eg/lBQ8mn89TdXPo2MqbTsoyz0cqvP9Mrr1NW2sSHpBtV6qcgZpGxsieWtM1gf
m0Wfd4uBH7guwzR+I51LbiRxyt3rDIztldhZHt0gmRc0X6Ox8i6xLcMK1gsbOCMO7Jcm8UG84djd
M7/oXlukJMCJ+XehzOipjyZZiB1hkic/ti32rVxAaJiMEeO0gNOL8CR47OZEy9bQdhuDVBeHPw0A
tIX+F4A1XgPxIIqLvQYtqaJqOAZpCSdX0qIkDk7XV/ZAScu2WRhXMql5Qv5GZNYoq3ca+jb3OEIt
PBGoBgCGzSpI1B/06DwrGpKnmEgcSyOlteXDldbMThtA9Odx+sXA98+Aa7bcnNxI3L6PlMw8e6Rt
vVCv87Tb1NUvygjkqyT+lC/0MDgvpcrNb2wAidhuUCW1LvQ2Z/SaJbKUzCzWX0IARoyh5dpQtBI1
q+ElnZaWP2QEjJs2VzRiLshmNt1FliVfW9mBQqhN46GbzcXKxhD2Tsp4fjQHdB0isLlPpQsrl7BF
+ZqT722uXAtY9SzJ21v7Cxu3h47vQuBQ1gEKKH+lzBSNzI7rZvc6SYE/vnJkxkNSli7NAlUmbbbH
rNfRVPA8nmwbYT6pIZWavWOyFCYajYi/8bvkjC/dNuVOGzK8AAw7VWFcNWnDU5NbOlhHN+dqqiwT
tC3qJbYXNIfnHsWyXmp4WCEC2wNMBZN4tWaNfjcHkbAQIt064f2r9XiZay9Y6EQrFywk4xySdOmG
Y4Wlt0aHMsfoScfQ4lmGWBI8Sj3iz/odnddJs6YbYSzknq7z8mmLuZCioyMDxFoLNAaXs1fMGATS
0nkZajiUbtIHJlqCFm28o4z2HpCTuUd1GnuhGbv2l2oYqgd/TtUleQ4gHqCiM73WCsPfGqneHtOC
HAriwjiMxEm0Hqu57kNdRu4DnY6U5qrrVzkOrUxdQeViHm8nNcC8PAiWlBdrPdF+W6tqVkxDIU5g
XRbimJOPQWXk5niBdVnddkKC1syivvxesx18Q1BaHxyTDlfAuKNaK/rQpCznrEzruWDhAhYP17DT
lHh2i7yVW+ko9xudCSMEFVld4CRu4y3CFW9cBQhwQyMj6HWo+/qKvDdjJBhXJl9iiw67V3fiEiu4
u2sqBcVYdWh0CEJxGY/il1VoaRi3jPWRHTFxM4yp5y9V0aDHdExUAQbxdqEfOcyp87H6konM60hC
S2SYk262W4pRDGxTg0akbUtt01ADwp0hArr02cqyMEWrCtDMXZ9L7YA7hojyNpFbtKXqO1ilcZNo
qXargrp8ThFYrAnsxMNSLZF9QIGBCLQvXoffGHSrxhSceKh+aI0tMz/+kK9d2VOis/xbEeyZvMVW
BBimsOpunSN8sJxV63oYi5Y7L8YLKl1/b1pMnMKKsSpK74gD2cTHIhaIk4NfC7kuOklztlbaxizr
/pPIXRS+QyW3vZOTo5vo3wpP1vTqoJqnAYN0qSEzJLtT39EzpB9mMBXmxs/JhWs3AFqIJt6MXmxm
F8CSqhu968UNVG8eas2lIntRhNZcaQw4oH8v+O9NLTqY52i2KLBp9uNOZrXtyI/SWZDqOTAelD7z
yOoEhz22zEPjjd9Pjr7J02QiOKludByxXkSvznS0+nMEEuWGuHiNDjdA2E4GfI99etXkHZs2MJMf
pHLdmBD35WnHEvSDIfuDxq1N7KMQh1DCucNsPAwCBRlgKKfZ25ONysMxcvFZQPXmp3kDPdK8qIrP
Zt3E1HMJynHDqhfWs5FIUX5xMkDAb0oMNiRyj0wk1KCSfEJ7/F76Y4M8MtecJxQ1wQHoldyTOAsB
opritF8VpB19lUP3ktFM3Dh2GseEArJ8PBezRspdytTO2vtm4l8NLeRKF5jbJhlH4GqaO2/JpxWf
5iAmE5d0lfF/2DuT5biRdEu/SlvvkQY45kVvAjEzgmQEKZHUBkZSEubBATimp+8PkcPNzNt106rX
tZFVmYliMgi4/8M53/nS201xdaL6JxC21xGI/kPWiW7PuermgfAbEoZULb5HXRx9n5NkeIoUyvdH
3vh0I0FG+yDMXFbzfZyACZJ56x5xLaN6Hgfym4IWavQUZCABhj0+dv3OktV0li00DGceE5AFRaaM
lcNvATk084SvWtmP5WY0uvw8No31MCcMh6RhqWvB4jlYFMOfVk+0W4Uh6aPyHVhPTj2LlR2KBCa/
ZxKhETekdal58JEZ5hwXJCNDavKs4zT0H2GtDU9DF2UXQyn9TBKL/S0j2zoKSB7zl5B2uAZyMqN7
35qSczMytNX8AdZFjKb7XSRDfVe4pg9Py1Z3hqNr4crq2qLZGRx5W/aGCjc4frdwRfKqO27jvDSf
nayu931pzk91EuMHmtR86ZDXr0CPDW8q76Ta6G1rJUfSbEc78AiTBaUbDl5274w6Ygs/Vu2eLlc7
pUQFf9GTRvgBjp4CDBxZ3dle8fDcszesfxqkpp5VXfc7JoPTXZm2Rb6u/ZgVZGXQXsQcbruMDChw
wVQWpNn1bn+JRE8seZmGUIEBNjVv2dgRxjXl9mlMBMeoqU8+SDWgJcNaFMhigrwkfrsjL5DMIl8a
3sbLXYsD0Rh+VMJR4dbX5IyJP7IOloVk0Myded8qN7m2hSG/KGNqv3r5ZG36cc6COV0gxKxRVxag
EGM1zqm7NuvBTQIDIth3AtO5hzoduX+owT1bE6BKZT3Tp7DjcIlzZED+wHR5/KI3g3ZmE2ey8zKl
ufU0s3FXJUD5LUg4m7RUkSB0Vzy7P4EujAjuze4TWKj7fXDwyW/12lGorHKDoWla5cQChngnf+Kr
l6RwxfOk9m5X/yS1KXpswe4twUxtdzSHkW1KVZVyHY+JJGjObZolS6550PIhRTPpkC7qR9Ts0TyN
I3HnlQvzQVmdd4dGd1ppltu/xs4ET8uN5vRBd0NXJ+exzB9KPydKu2Ryfok1k99azgDJQvoxMPgF
u8503/q1g/3PLPSfZqF0y3ST/3oW+vyjRJjV/vjxl1nor1/1+yzU+MWhwV1GGjfL/e9zUP0XGJdI
pjGk4zDizz/moKbzi+PhzGUIquPQNZaG7jc3vmn9ghdpAR/hLceU9O/NQS33b5JX7PDMJpjpYPNg
Oskg7a9tmDs1IJkHuzxofcaRsWMpHqU9caDDQLVZMHpaGaCLh1Mn4JUVCB7WRjuCIotCdy8LC6mI
HbbFZvGW3bfgLp/HTM82eKDKdRQ5eFOGBrBG5IyvDMakXE+sV979qDQOotbBLvq8hDKOSBvlnSNv
uTuwdI12dlLiQCPwhFc+i4N5xiE99bRPdJUW6Qf+yGY2JmovLz02bimkE6uW3jvJX8WBImDeokLa
KiKq11QGetCT4vxgICbZlyR1P4vY7BGitxYcbczm1Sv7bLkTvTYfOfLA+oH/cz4gv9SE3xVEZALV
iKJz1ZAWl6WddxrTWb+qoRHrMncvvTL8s56acu0VwM8ARrPzJad3P7tcAlkiwUgj/9g1bljuhwT7
Y2NOl6qu3ENDNsDW0bg1Z9UbD+VyIpTZ2q7G7BFeIBDtUGQrYxq8TQ4cZ6UyaT81uokoUVo6ocSW
dSKWvT2odtb2If360cpi7Zi3qDsgxgKzgW1Ce6tXZ+nEpI9L1CZkvw/q2QCzvxGsuk9RWNg7qzaK
rSBPkH+1nS91L9qzm3CtsTN/Zlgzfk6ZcjbtkMJgcrP2MmMTgrHt5FtHVeNaq8fpaiWp+6Eo4ety
+kYMZbszajPds+UHmCj88GvvJdU2TUPnO4OHbDqrSaRnlnIZgJ96jINx7IoNstN+ncQeKYhO02yl
Q0DnhGsfOZstVpFHi9fQJH6Q8Dz8jIbJ3856OeK0Rja44b0ByzUNbX6a0vpLrIz0CwvE6V1zoF+s
ytnWz1oFcBNFAZYIYFsxxStshhrSIWPrkC3jnGEE0p3ygclddYYh/SUm5LJbaaYl9yiXs8tYSe3o
QY964A70qWgSB7lBbrHyTwytcPdKU8m0RTQN6N7Hac3FpsbhCHxlm5YCDss8NiYRvbUXCENS2clK
FHuiD1NaFpaNK0GfWwboKZkYIgAVYNfp5VqjSFajmItHREN73wYsFqtSnhtHvDN5csOTNPMxvquN
/MVJGvdaVPYu1DxDO5CYbIVil3c4u91V7w+l/0muiEw2UTjND3M/to+tEl6BT5eQhJNVKpZznfpi
16P52HiI4NSGENBnXKHphqrQ2ER56R+HyhXFykc3MRGB4tTXmqVuCmgekfW+tuhbvghEydm4RgYG
r2ldOm5FvAl66laDMZYK/YGDks+96Ot5GzppiewTDqv+Nsdy6AK91qJ7ObkwgRkZC9lsaAKNC3ZQ
FX5HLNEGdjL7K064VQxSydroqnriybWzlecX1N0+yUAolPuF8K53fvrhUpBqe6/sdbrPKmfMA7RW
saG+ZeqEYwyhZwBmS7YJcU8ZfhKeFDiq0cGIOzqKUg7jY9m51vfJMrtsJ8IRGpI7Sbdc91riU58Y
0OA2pZ3xLWeyNJh4jIjVaN3BXRHVzgqdci7ZcfYx3Ph1FiD8FoIR4MQUwQ260+qBNAxROURpydjs
7rJ8sPV1VfUa4VkjaZBI25wH6Bvj1rYG/q+e451rbD7jwEFy+Ex0nLhrHK1tWMs2Ug/mwh92KXux
MwJPREcJRgBMBOHaznKrC4Qy3Z0yRLxDK+7tKiKdH0uRn+YIgh85n3Z1GuOFSluTYFsNnRWzofXc
hXKU1HKtCCpedakjjp7boBEvcSt4Xcr5FTnJpomgg2x1N9Gf3LxON45oZ/LmB1tbOVpZ3pPDUV29
3nXuO0f2bzYy14mez7+bCKBZ5bIx1gSTR7uu6WbybmeV66uCFN9POckP7qjmnvG7sx3cBRvVJ6RU
C13qTzg6wi15VN4Xm9ifiwW6iMuhzOFDuu0D4lVCGNhGH3sCGD5n+DmPU0iz4DrRgaMz3CMN0V8z
10jWYD69t94AJon0QNT71JbjHeKp+YwrCr2kHNFaknH7LaavPtqy6u8JdNp2WonzodPnNOhoymuS
Gkxrgw57fsSvlpLL5O9acoe/YLDtoED0amc05byz+8KGK2cMTEJaOGFDjrTPXXI4180ovLuEVOyN
D6ZlXeOpXw18/6eRaftKLH6SCH7CI6yqIejnONugQ492Dj8A07KspwUdrJijcbZeTVMyYOltv37v
mVOcadmNH4wtqi17PHOTgS7eO600XxZ500b4xLnXUHa3qIMIrS+7/D7TB/lV8R6eFRKpRxuR0Amj
PrnYcZmeMirgnTRJc84AtQa2yJ19PvffSOpOTgzC4pewUvp9GBoM/dLWoRIoZpLmaX2CqjD1+3ZE
lBokvPmPNgO8HTCO5h3vCVRnxK1YGboLG1sk9RYx2ofCb30IefF8Z6RZ9TG0kVzVY8FAAMjvIdaj
lxBYYWCUBUDf0sWUpk3mhvlo4610Q3sdy1DfWGhj6BsS/c7UWoJ2uP1hDMMyXltGbBHWZXRfNKEY
c9LTti3l/bghqBcedz86fiCxJhJO7C2jr0jQKzEAQqhO3r3BIJn33ptNdoSq6bs1vYr9LpZ56mjF
jIMRdjEVbBrISLxVzhS7T2aTeqR9ANcmLvS5daY6udyK1v/U9/9Q37MDW7Ci/7q+v//x0by3Gev+
/wJu/fZFv5X3vk0djxsOCzNbNVDv/Hu/lfiGbv0C/AIDjWf+mg/6h9LBhLdlCsgx7uI1w5X3R4XP
avXfUDYIb1lm/WmxgnIb4IbBYm1ZCC0O1b9W9IDrNPLj4v5kFsCu4vOcNUJAwaZwSSfw1W5iTXVx
SNiu/oiV5kmw3dnwjI/VOSxqsae8ICcYibgpzo2ROkiwW4d61xcYNXINDVtLMjvncqNtSxiIr9CP
C4KiXJmue+Grrd95yT0PtBlkNjbQVd3PYlMz8grsyTbv2WugGnfx1+n4Lh6zTC8fO6rRq186ADRx
g2VfG4SlR0uj4liN2DJedck2Q+mxJlbSq/xrHnvFtRHdVzqE+dCyCdlh+QS4KO35qht5cx0jM9ya
6CAeZnxhG20wu+OS/4P3CEJ87xjjBm2UC2odCeazStLx3XULifOmCuFuz87IuoZQc8d14hfJdApY
I2uotRn1YuvHrvHk2jK+2qOTbnrd6rHCUICemmgQJ0+2X4jjorVAQ8jEwOpNEegAl5/JRYcyb4wf
mJ8a0nDoufY6I4yTTEpuybK2229EZA/UgvwOkXumxb039PFW6+L5SCg3VUjMSGqd954bgJDxPEbp
WvJI4ZDutTx6QMefbt2Ui2iOwfS1dJJ7fagGru1SnUrNSO5jowBtDopwepoYN+FG8WGFOZl4IBml
3U9ClmdX6sMJvMG0R4BhvlMwgOX0je4JQkKObivTsg2bKKg1TSy8Q1Fb6oxxUt9Kw9XWMA3Li9bp
5lM3Wd2b6Yv85yRa/Vn0sHGcbCwhT9sa2253G9l698pnVU+BHEv/UbZe8Wo2Sb8FN4TRsBP6Ziiz
eTfotrZhfDN+l0PbPhhdXZ3SEc+fTyvHNcmDw6ZJ8/1P00zJfaZckNjMZxPfJhE+3IBOGV/Kttcz
NPESOyDXzKrQq37r4dShULTee9F7d8ztkh1b1vreIiE+UMSyB5qYgX20XOajofnjBqNjegIyae3z
qPb2eu/kP1JEs4/AcEueqWh+yFDDctXbofbpVaYHvT5qyXGQg5OPK89lZlgmjsv5FcdHvJmYRIow
BWuR268YM/WXZkzHk+NnOLqtVp0Tt7aRW9ayR3ofzW9wdAWB7Xk93mF3jJ5x4NkPnrRWjbdI7Hu3
fExQAF7FAk/PbLObVqqfM6hiRunCX5UKM0g32mBe2C+t2qHExpJ4TnhAKBQehG80B3tKCbD2GLuy
Ch7lqFYOSNSvHCP148SobV9GUt/0qiAxS6v1MzmI5YCgu64DVya468jFeiiiInpoYgvjrHTMb3mS
Uxzzbo8vbRi7hIx6anpynAyaFMMtbTOja9kT91Qc1UxQ+qrQ3CEMMNrZ/bYE/vkAkNQwAiagWQHJ
iDxBKg0JYtmpQvSsUoacJEk9r+ei+p4bKGhWyinGszm7xcSvxobGnk699jXqW7QlKTkyDDC1aFyb
Casjpo+lFFtmFTNcZjrSi8h146VpQ2TIUS2aWm5zp7J1ItnA6oxc5+ZCHBDbpq9pGJZECOjLm1FX
rf6ED1hMzpfILeruSvGn+n1FekNSHudatBpaMy8tRqoKso+GpyYdI+/TirIwLkHL5PpgfylADUl3
49W2lm01pbr0++TWtQEklV9Rw8XF5fafOuAf6gCGcwt55F/XAYc8T0rMq3+uA377ot/HfC4KRSAX
4Ivohch85t/7fdRn/MKdTBGAUg352I3J+bvkkRgjHQ0EmeRIuDy4bH8UAkwBF1IX/ACfGSEBR+Lf
KQxA3v21MEBVCdfTB94IHZ254xLO9Gf/fuIkVpobbXwcOaQTjCcVaZ0ptolauhqKj9Gw2Pyl/lOd
SdxZCxchDLijbSghLXu0fWMUAIG8KneO8+xa7Kv6ah4YxOvjRbEytXZG6k7aJfPT5kWinbcDHDtR
GhBni7eacVJ/yoeCiiMP8TOvVMH0Ch+ocphgMRHgEGrI8DTmzmL9UKEGyF2z2fQL6ZE2scJg24Je
XpFnIz/IT3A/PSqRdef5uDJmRmKruGZhGUweqtS1EQ2WOPmCcUPrF855IPOI7Ad1bXFTbt0WAMxq
ynvdXKP3S57qNJ0u7E+7+yYSBQRcup2NO1YaJhhvjOxVaeuRt3LS+prbbFT45yU5jdW0j8DRHQVL
6jsj9nasSMiYiCuGXHZpO1RLMfPJbhAZOG4bX4fVueKFM5CFqdnkT4bAu+/HFvE3U/1gV5O/xt1r
PiqRNoe+mqx1bIjHGD0nEgXH3WgT660RFPGj6Wr5vVkOV1sfqK3ynDukHt34E09SvbNAcQaNW2Z3
RsHWh+GUvPaN6fKxx0l0xihg3Q8xwqRVp2Z10oeNFFV1Dxy6+Jn2jr/tQdqxa4e9FWEAvgrH/7TD
sFrTDoaBo8USqwZ/YMx48S3NWAEdLoM6t4/9wIDDZXrxlDateSUlZbwza3d4xLGLJTOLP5DaxO92
5QzrORrvct2e1jaOkWX0xv2FCu/SV2PxlDdZEZRZ3t4Lkxkwe+AmCP3s0uRpRx5ppoKEN/ZLNrJX
t1ox3k/4ptc1SAS0QvyXatif1nofRs+z56L3R2uLgyItKzKUyjRtNjrn6J0ZS/046ep7zt9/iJSV
X9y+RAaCsd2/ujjDL55ACDOTqh2ywJ7ne2vJNUzrXttlmLB2LFzLqy54ol1HdSdQ6tbdlIsVXbm1
NXjszxVQ1re+cSGNaF0HODplN48TmLnykmm4lggKdjTQ0VaT6s4x/fZI4Pi571uJ8cMh4UOSJxl4
6ajtqWd67mueQazumIVVqHWktnRfNS3fAp+/wjnRt6F7Z/XYHVpZvk6DSh9jk9VTh7GJsSkIeutK
tZZv0Mx+trXrHiA+f50WXlUu2m8FOPotkiHyjYpE3DFawjGw/Kam71pEwGxF8cW4Wn+xlD8G/eSH
+3rotfOAEHITqjpap7r1xmHYPiB6HreMnwhiySL7MMnW+mphqoQWAO+9CAF4aSbin1Q7uvAeVzhb
3thBSCLR2aTmmKSx8hznLjl1RUdZ3KHJKZN7aNeEczs+eepWAfoRxvjAMG2bDekYWFnaXtFc5pfa
syMSQPiYpzlDR4Tk8FKM+bxDFAVDoq4bEmtG52w1PaYmczg0E6Km9WC0w2Wwuq8sJjXY3XDVB/r+
khesgnitP5WphlBiLY1GpEyLBrM4Yau4Lxrvo5LkhzrO7D+n5lRvwccyn/WS8JEhVvJgx+17adWk
DlEFsCo03p26t+G+Nnr3rW34kTFi1+umzsUdo1WEccLmkdajPOgLK8fVHuePE8fuKh457/IKyHfg
MmmfiajAo8f53FMjnJJpnL4RWo0NryAD6glf6lOpO1iOvbJ4IAkA0mjv56zwI4IRD2Y9xBC4hEVK
Vm73OrahtDrUWY8RNmHCA5W99K9d6v6sK30IIoGtZSDHAtumZ1B8Y/H3VmR8F4j1rIRqCCi5slPM
wIukz1jEfUyWiu30624Sbc+yqYx/3VtOIPyPBTn0xPHCUvzMtLSaVkxZoKmQIS2cB0YzWJBJkfT2
GePxmUlJ41xGLmxGI4QurbKBR+/QdL392hpJc4znYmpXTK/sj46nn70x4MQ4MLTQtTBo1+5VwucQ
69BA91ThNzjKKdS2DIbLaB9KhnBgXB7iXOVPnpaaTD57gCJxxlos8GnP3mrPaje9sIq9wUjmnQwT
Rs9QD6C5RVNnnSKzQT3gWjVTn3kACtvXHu+H2ff9ioGVxnIFy2yZWaheQYYN545i9HEahdTxD08j
sUxGSR4W7l5zXGBo6kXHY/cuGz15404mhAEXzLk15+KBeHH/JyllCs5EHppXNnn9i5bl832huwdU
8/mPojCd73bp2wlhWKZUeDP7fIMgMmH43R8KTtuALlpMazQxtCo+kgACZdGnfFX9ZJ8IfM6/aymT
qWOhhGBJUifDJWTd95V7xN/U4xxt1TQJMtZR3oVwa404OjTs5T+zJPEtDqMo/Ao5pn8c6S15KqdY
e0xSpwXVaRbNG9PQ7B6VLD1cH3aWi+ikmA++ktl3q5PZtR7wo7X5IIJkLsNDRs7t2shiXta66uTD
LE2sUO3QekyMgZQgERW+fq7zeHizh2n4EXqx/IZ0lx5CS31ITJGPaGWUk3ZkyNE/ArLBEGUSiPpp
6ROgYiyQoOgwOe+VCxFg72pD/c2PxpK53RyqQ2105rBOk5Tlvu8W6Yv0Eoughcrsrim5XcQajaa8
d7o6P/DOYZpSQqfJnZasEP7LCS1wG/0t9LvQQkKisxwxes3eqdxKrqFf64xMJzcolWKIzqg03XE8
px5i1p60jEy4p2no5JFthLN2aos0jV6163wZMzJcZ87hNdZGksEXQB3oNtByfOK/2hq1S9utW9v2
T7lG68Z+ES7b6Kb1oXWthn4rL5F8NGnnrpJItUYATa16zSZRl5sO8x3T1FTOP0ADmeeQDcaa/emH
FcX+Fzcui/eKJeXWjHMUhhzxYbGa+qzSAlg+nIg2qWSHBEDX2Z8t9xuqo3xfxwypAxHZM/gNczI/
3KGJ7zp0oF/9Lo6TlVegMV3Jpm9RzxHfgfGL/5nNKvP2mFanq0fwWh+MhKO9936PLbe062+RFXYX
2+/8MkhHob8hA6rCDTkUimdJbxXJC67x3ZdCppuwcCJ2eVUavgJTKb9Mc+e0W7OMxzvVqmmHOFND
Btcg9kLxkx3SKHvUZ5W8ytK9jwhLruKix9yqbQZ2ZEE5df7F6nz9XrlWtI78wk3WjNfFA+ZOgnCM
yN1Jh8JiZTe99QEmWADFq+roa2lNLjDLYoCmYGho8wKjTZDS5VF0j0hu3gxQuIh3zPvdbNndeq7N
fKt0XZ0MLd44qil+xKlg+JEox4UCBT2ZJTcx7JnTNV8i2w0/HKsKt32lQ4fhtzm3Qd0wu4nFmB0i
yixU1aGtk5XYRIBZosxKv9dE6pSrZvmj1uKco8UczhUkq5c8HPPnxNbjnZ7YGv1BqE5NTUoaD7iD
jqVZ2mGdGpHYi6MHPaHdkjut9l7iM5qByZy9tuwJmlVM/hwMhcRGBFfXwtnIcJ7vMs2ojwOexhM/
YX4SpPZ8hnPSbYukI4qUUcg28s3yIPPIXKNvfqmncSDzTBjNe2RK99GUUvthoJD61Ujxny75H7pk
pAALCfFfd8nnpEWn0iR/7pJ/+6Lfu2T/Fzx8dKDs0f4c58sUnUk4kV5Mvv7QwVj6Ev2LdE7gbxBL
ztefm2MdC4vu8hfwDP6bOhja3782xwQOw2clB4+RDahcPHp/bY4b2CxyqRGOiAM4oMlWdXrss7cV
ZO1Y/ZuOVvJes+3qmsAqu0dUiHfGK3QjKH2Vbuio9ae0y8hfbHiXHuLb2pO1Zsrt0OwgjJnHbtmO
sk1kUWp7zMdXFcwBpBTZ4FIZsVXt86E66bdVa8XStV62r7Rx3g5kT7wLUcjs6BlY00YFuYStypzd
nMTNIVv2uaqdQFGhdUaTrwDXrYpl90sHO3zLCoeonRFpT7CMoODYou3syyq8VtIiYSvRhvGg9I8s
m+HLZrnH0oA4yVWDT2jDX4iA9rBizsLReRjCkekW4X+5HsBJgSE+hdaeHYP2ObBhhqGS+A9mWnq4
1IvmRzSKUAZxURuP0MLUrjPN5mpRRB+RICDGWMwV3Gep+IFARQ9SezFE5LVJTTlFzj34Pyhm9ax9
lg7MoJVRV+Jew6xChSZfaXDkNaVC3GWx13+J6657AgbFJjDX5uYD1WX02mhZ5gfKxgjgkEcKyaYE
A6a88pDrGWMQsRwPse1nlBzLwSFvZ4iwhhdHOEQXqjL/YJbf7f3l5DGWM2heTiMU8w/aHNnHrOnq
Y7OcV3WYk6hmE1fqjt4iAocGEK+QeIpmVS2HHfQLzj0+JcW/tpyGojXzu8lwQwSthcMPupyd7XKM
GsuBirM63o3kcD5XpRW/ZF2ysDLLmoZpGqF1FQ5knDUyBw5sVs4c3tiys4NcTnR1O9zV7aCfjD7c
xos7PY8mvQ2G5UrIZ9Mgo8gfh5/J7c5A41Gyr8zbeVenMeNjh4GzheriRGABBES0jitBdXiuOy09
idv1hOeTqwqoANeWvdxghFdymfkqsj4k+nnyuGrbIbiSe6+q9WI/1zMaln65F6HfEDdU2P4F9QmG
f65P+F19EHOhOo19z6C4/yyX+1Zfbt7hdgn3y31sLTczkjAu6XS5r/3l5tZul3h4u9BJSDJYEyzX
fLzc+P3t8u+nzHjrfJB+QVRKRSVUym/NpIsA4KDxjiar4RafuunaDm7u7S0zI0q08fxqnwj6Cf9W
iIS3ooR4C/Or2evk2Omx9aEcSfIA0hNKGbeZqWqi0vuWLpVOdit62LH4z0DcKIWmW1lk3UqkeqmW
vKVuAgPuf2kS60NbaiqH2cHZUM70w64bSq7WMKpyE3ph+QrOjaIsvxVo5VKrIUKhbJuWCo7A025d
3Mq6bqnwuNa7dd01F6NlvYEBn/e5WWrCaakOvaVOLJaKcV5qx9HCPGHFvtrMS2WZQW872jo4v/lW
eDZLDVrdylHEa26gLTUqqJqEFQN1K0w3SljtVs4idtXfxFLjzku1298KX/9WBCOWzQ/RRGWM7pgi
2V/q5eZWOodLFZ3dCmp5K67npc4ObyU3AMr6W38rxK2lJpe6T3luL5W6tdTs1a18b5dKflpq+jSb
CcOubqU+Tr1+qy31v7N0Ajh8hrfJKo2zeWsUulvTYNpTQ/IDPdZDzDyDYDImF2snHsJDLDTaDgKD
n6KsBSiY+QOSmiYJijyTa6d0j1Y9dfB/y/zix22+7qMkPKQZxyaMYAkxqHiOSlvt2mZAC044EuGF
DcqsFao/AFBdT72jj/P32ezHgnGnI9eVqYqNXsW9WOW6lz6gHMp7dWfl0im7wGqYdbzMGhOC/eRa
Zaa/elPGBo85gml03atSU5s+hCPyQbHsQI10CLfzshd1ily/4sqIWLz6bE2X/SnK86+2VZZXiT70
qow2xE6RgEsalt2reVvDlm45HONlN+vd1rTtsrH1khoLB/yNR5bRctsum10yLq17jAVtUC173/S2
AjaWbfBYTMm9WjbE8rYsNpe9ceqz/lNOxpTgtlZulw0z5AmWzcayd5bLBnoeO3G27ZK1dLNsqK1l
V50uW+votsCOl122OQPgB1Clil2nyeo0sUG996u6fpp5xg8RP/hnncj5MEyNTcAIm88xlPM3StyR
rY/U5n1kAOdMrUks+g61kV2oNllncx6pxJjvoCm6hziJq6AY0keZq2ZlS2E+hDjDrdVkZOF1oDyv
aLiwC1TwB0u6HN41VT1GZCLuls/zualGg3n3DNediJFdKhtCfLO+NzdCDPYFSGX8nQ4YCOSoIUtr
5FjzffRuOmJjmy7oVIadP/n+oaeT+9qEVfHYG3a/530ChI+Dlja2JiaeaTrxmiuQBoDyUyBQgYJC
eBlMRJmrNjX9wMNSDyso0fcpCTUPKitCXGX+eGi5GAEkiuG+9L1PHcLkp9GaolrZrS1fE+w933SC
Hw9tpdW70gStTLY6Rw2PX8wlTdqJHZi67m6TPs0eQ58ShBkjbNPOcHDDJN6DmMpi0zF5ZY7h5/gG
52Gw502DVKF6Kif/FaoKbMs+9uL6TrYSJLRe4mZhCjb4byj7Msgr5J0+Ok2btHu2HVJjUOpkdlCk
TDZPwukS7jHfKOk/pi5O6oCLn0++EvP01MhoveRoT3SqjrslwNQN4rJ0wiAlJRw7UZXeASVti73q
tPjVrk07eRcOr3iAWRRvWzPMTeSsMqbqs3M2DHL1uh2RP4mujjyyosmODJHR3b3TybxR9o4vGeHh
n2k/Ctpa5T6j+KyPUibP9JDTpjBlccBTyOJU0d+7Fd7dfH7jAPxpJfF72jlvrhrUh1m1VBBWgzq0
tdUbkSDpHlNX/ijBiw8W+Zj8csTKa+oMg1knf5qzTd/W1UyYV4NkBLlKVJLvm2rqLqY9YOJSymKM
Xzd+FD17tJB4FsV8iWfqHdxTg00W+X92jGWXdNM/dE+g4C00/v+6e3p5b2Nk7V31V7DKr1/2W/9E
N/SLb2DxXrAXpo2P+o8toyGsX9xbhPItD/n3BSMNly4sC5s16JSFPvBHD2XZv9iWbZiE/kF0sAgD
+3cWjH832cPm9gB4WjoiasAKf884IFhYKq1VzqXo82IOymRUbGrajm3VINtvf/pgHn+VM/2vUhWP
FePl9v/876Ud+y+Rk+XxzUgx5FZhmQlsw15EUH9ikUf2aIFJ6iwMMBMWZ6sSz9NiAPzVsedQcLxF
BPO9+z2u3/+Pb83ppbOYJafq72b7RMsMvPOGdbmxuUq/IXkUEB4CQFc56Hu9EZEOnlQsjW241Nz/
87f/K15g+cldAVlgQeCAdrlZQ/78kwsziUo/zc1LXoD6CDytxxKps8Orj+At+XZjgZTwf/6egmfk
bx8335RHxULnTHHw90QQ/FKhimpfXGxRiucSOe5BFM4MFg97yde6s72TlSzQKGUowJNxp7rvzsKN
yDWHz0E6YDlrN8Ih2WoLs3ieZ+sdKRFlPXZa3bjr6xDeRDLD0V212BAWaEppmv8ASvhrk//rZ+fg
wVkmDyj9bxvyPz013gD9lwWpoPLHbZ0xaj2MucJc7RFy/3zj0o3ZPwYPoP/7bx8eqZncITckkv83
OoOj6W462o1xSY3eeC7hku1Qicc/9XSUF9KGx6uN8+KecCtUSFOs/gnQ899fTNckjM1zkb/z3Pz9
Xel9fwniG40LkG9oEMsLMy3soaiX/4QdMv4fDwqEGN4sT+cbMkz563sZTm5XMqwzLtYCMtHquMy2
fWIgaL2BAUZWo++97ixv54JXYyvMy3Jz5aeYVv7h1/1/2TuzJbeNbdv+y32HA0j0N+K+sC+SxepL
Kr0gSioJfZdoMoGvPwOUHcfW3teO/b7tCIdsS0USBDJzrTXnmP/ug5N0x2q5gGv+5a4VjlGHrRmZ
D0Pf8pA4mIDrM2Moc2Solf8TjeffPSSLyYvnkr/9f0HKWE0GGtQexcMVf1AxqYO4EOv6NPhmfSol
iKIr+IVNn7s8LGbrUtLBiCkILbRXVjbXJ8Mb9WPcuriYc1ME5z4fw63Vo0ZMkhFwQDVlPGVuUGEk
CUmdLnZ//6QvutNfb1afrhp+MLYKlKm/YDkyeEJDMIXWQ4Rhqd3hppSH632DK6d5kxIQD4nULLkT
FxCjKeRNnLkpyMGwPTRTiZWBAgAswqxm3PJWBKs4kKZ+/Pv3+e/epu3gqDNRbSB4/eVtGloMoxc5
1gO0QS7I9TJbDaQVy4ys57aQ/3Rni19vJqS93NXsudjxcL39+oplj2fdzKfu4UrncHuwC+TQL/+w
caYPJrgGaXuQR0BhREgLRlooK4Uz6SkdFguIzVTgw65HfZ+ZrAC4emHxwog+OwsM6HqJiM6W5Jqm
hOHiB69pDNmgJowUqrjPB6L/8k8YFj7BL983m7XJ92xz5zLdxXH41wd2pppFqjfFDySPT/RBpllu
Mt/I7jARTf0BusGoYG6OWb/BPl94GCvKKEEBi0eF0pQwYYgNTbgWGYG6GHP93XhNVE+8jjN7ZVHq
w/Bwo3lj2vjN8bkq4wXOZEwWEFR+iWuB1ucaZRUYBchFPBlZR4I7W8AS5p4VcO7RgT4MS8x70JU0
nsqgvoxZ5GO2q6XJjBm28Wdr8vM7q56KbyY+xg0dO0YfYpphbk56TD4mlDXesZ+SapP27N9HutSl
vWpBdt3TwUGxoq9p9A44iY3rg+dejb5vNK/0/zKiMCPfp7XYJiaI1Dj3VlKMLVwBNybsnbPKBI+5
F8FXqDMyWFdl1+cHeIYk7rScr+WNaKfUuIkCyzmLGEw2oujoaHLGecKKbmHxZT4qH1ApWw4zXygf
eBtooMA9jZvm3qd4lWusHUm0CTKwKTGsj9cm5x7xp4FHzkM2tG3LhJYDR4Nw61s9pjOMX+57hzA0
XVcBqw1HQBbisWEX6OCUIn/yqbk3kY3zO+iiApOKlRX+OSCGYWBnthIkuJRNg+k3Rzs2s+kWZnV7
NjS5U7t4QkaQM+HXwY0Tp8llzMP+G4QQr8Z7AgCCFoLchHYZX6Rw5E4iUEAc0bwp05w/05BKj6ht
iY3nHPB1InwADxf0E4YE0U6Qb/AFI4f7GceQu2pByH9wo+jv8RBlUCqTuNqYA18PLei+2mPWcDel
5Y9rbqzSRNgVVVoHhCoYExPZ/sNpTQ88SRo3z4YbpPlpJDQid460bMLy2UfmYIbcAMVU+5vSX8i4
K5TLZL+iVEUeusjnLaEAca5zJ4XEiUrdAFxOL8gKm89GMiJsLcM8q8C8APAPdoa5HH5mVz/Wec6V
royxPqEf4zDECg6HKFC+vWWe3cCniaPiRRsd39iVflFOExDT0YcTT3uMtSKduCsRkRCoS0wJHYc1
AsTmLcRaCNjBWjLM0ozGomnKYKNCWKC4TkAY4vNhyU6d+GHwg7lfz5PnvEeuUqs4NTmv9gVAKoaN
7ruGO/SqGOx/dHPi3HiDx8JDK/DsO2W4LWXSgvvlCQ3WKAn48VPr8uaoOOoTxzqk+R5R3flU1qe8
IiKBsfPym+oiPPc9bjhcMX4U4RQLiZW0rAUwH8NVhXqzUJCEafIfZj8nDSYAIfMuBTs1XgOKXeTl
VnahT8sSg/0iOMctsNdwqY/B9LGppwYr6nWN5AwXnCOXTdSnp3IAtNN9tOFyKRfz33PXDfzy+m7L
YcB8Z7eOvq85dqKIc9Ppvr2eRfLCc+RdVebyEMcjpLsZHskIafw0CWU9jxasaSGy6XFIKTfsJamC
GRHbcw9TZTMtp0eU7u67VU58KB5JXilPgOWnNTdDtvxqlBN0kzjj9GnmAJiCgl00XLhJTcFu24Zx
+wZihNOvTrvp8XpQmHOINUedFd47zorgjC6br7blzWAEyz4cG6XUOvVt2MCtYV6wBRpr9NB4pyTM
6DO3Ed/dNVejqls2ng7s5YJXeTQzk0N4XROEdYWX0JNlNwcJBe0qIknv3evmhQ5bQyK4aTu5oIr4
M4DfazXpc2tIMCzXAw7hQSE5NhkQ4mvxYy9HnykLs3JTuCTgrh2D9IWVD1ABa6U7BeekdJ33xEcF
uWfb4Q02Alv1KjAqCAlNaUVfCyPhxavrI2RFbqZ3o5bLMYidp99I9RA4qvsoFrwlFUTA4Y5/DWOL
DbhyXNY2hmf2TZ4Ab7+yq1gG7BuPb/pSdbZ/w8epTza05cd0Qr2yYrrNu8WjAGNWseP2y+15BUOZ
McJ8koUh22+z0ddQz7NpuG1UbCSHMomoAS0P2wPiyjkgc5a/ziJyuYF/4tR6C6aJHlP/OcsDMuH6
1kz32KG5R4qkcN+ZkHNNdVPy+a+LQF7YgADTiqtSYNI8e1hnbgD08cB5y8uXCphUtjz1RW81b9mC
aLvCTDnutweA+3yrqejgXbORcx0UR1Bk8dGrQWDPvWa29n4Fk+XmwliC9QYCK3Z54qXseCfXO9HR
mdWdVMoS4KLsJYdHFiw+TkwS832oI6GABC1fUNbSg94JNAGHUuLiI6ZGhzSPZqPbzl7PoYiEAs5A
AkftE1Q8lxSIzHoWRkANEGaUIfDErGeFpQg1vWBchaqRMGiCb8LmDSwND3prKTjjC66VnYgzcuex
AoH1g8i/FLyzMiDsWTaPaEyJipEhN1eKkvYZyrP1DGyIr6VfTmlzoPierifG67Y5zSZ3VFMY9g1x
UHz22W3CcyUCElxgN23kMFDJLFdNNqMON5myinkjl7eTeHyKPIVr3wwMNuEhxahqcjj+5jyRueXb
s70bgIcg28Em+NGmOQ8X/FtWx6STro1gmUAVbnAIiEkaeTaDVr89TKkL5M4Nh8J91FIt6SW4p+e1
wezm3dHLysLvDl+rxVBcFINzk7e1UW/hO6jiWGJGKbfFkIj2yTKF4haJci40RijrkmbXtU+LzKBf
abHIcxSJl5LcIVqCQW1fn64X4OdatBTu44L4vC6sMvbZca73LmMZtjUNq/Og/XT6KtmGHq73pyOG
aJ/RCNiPVevkt/4QcIsE5iAPjpuPxySecFr+vCFKVQY/Gh/B2rqUo4TPVoVoHHFcxx69lOtd4emc
hyIXkXXxQJrvrZaxYeYu3QYwWmm99qrKosXpVqxEyDwBO7WCJoR0MwBucL2oqlTJ3ZdKGC7SUfy/
iYMQiQ8oRS4WvMkDt5z1DA+Y0HOrIFVljQKVHQa1v72rG26aATn6q41B5I6c5pkxz8IYNA0LPXGv
WLSvK6CT96jSauZYJQnhxNWuQrzPACZ8xWOzbECM6WKbWK9mBIO2qmPJXJbICeI1qmF5t9nQ85jZ
UIdsaDmTfiSbVEKgolR7DfXEwc+N+dyEl5FpDvK6NzaZI/Uivjaa+Wm0glQf+mGskjtinLG2Vyyj
F2lCaKJopCPOzl9zt5twdORz7w4cQmIjD1+ZOQLPYQLM5/VDde8Mwn+C717eYS/+lhiRQWJ31h3c
ogXBwXDjBFIx+xHbECl8Ad7C9iipAeWhJ7c12yPmYHakieCqdU/LM+SEMnmvDPu5zmnDF1q7atZ7
Y8iIkqqI2MU9XTNAYAJ2g684u7UdZp4IvF364rbQh8oCKLEumqa6jWoIPKEuOC94AvIP4GjuMNmJ
PtgC3+3NY7ss/kf01DQiQxBCl5LcOSoYaFw3Vy5hRZdtWLdFpIynOBN8PZJUOTpVocVFurIyr0TS
wFYsOHJZ/NuRM065HOmuEMmc7If9lSM2tIpnZimU84JVVtkhj2qYtMTfmZK3FzFTec1FvQAJI8U7
1dfNJMIJ/ja7aZ0DwgtZkvKwwY607OEWtvNXhr3cQdfCMDbjqjkCw0QRKnvWtNpDzHGin4YuManD
cxpCVlJNaF1i7YavFiz3D+YcAWz33FnGrXyvy9hO72CBcbeWMavV7JEiMPLK6+u6GWb5kjfAhrmd
FhioKJbz5hV3iK45LTdYL1ijmRK/XQNVaoSL77LlEeoLbp40MvKjUbs78op43/PMpAItbJIchJuk
353RM7uT2ww8cf2C3XDzNjwTq7ecMABKDkvkQZlXgXPj+8Qd3FCwaQBk1DcrwAxyX/fdsIMGL6C1
db37buaz9QxovD7xiVmV6PNwSXwwivSaIkElUXpsLN44eaSKmd5mbn0CqgDyX+QcL8vB9cjsmuUP
Dz3zii5Zae5IdvODrTf1YscrJ8+JHPSLxn1xToCAvTRDnG86nhBWZ6qdeceGSO6775WICCanMe4X
dLFec5yugq0tbX1A2Gh8Gxrb/cjCYf6Okm/8URe647itinjFuUqcrIYEO4tD2b6guQI12vTkZgAO
ieC9rbJ2S+BZe3RtnV5Svwk2cealn3CUxU+kEYzQEkvAG3nnmnusL9MltJvoJTH8/BtpYvwkF9p/
x0mZRMB7gkuoWAviaKy138NHXYR93tu1O/Nffdw/TXgcNEF/amRt3vv3333jl/fy+//7Py/9e/Jn
bRw4iuUP/DHbMZnV0FxCLO5ZcDwX6/YfTnILJzk6uJC+tRP+tIn9MeARv5kWffmrcO4PShQgff6C
U0rnE7uZcP+Tyc61CfS/0xbeESuovfTL4Wcwq/wVl0/VztB7CqbbsJoNAG00AKdpdwW4lqXDAVsv
LGWOEc2pc53uw5omjmVYjhBjsJJwYq9PoqkpNoeBcjK1OO0QI3aPKqxDA8bjkEYBDnVlYlE9lKXH
Ovlo+ORVQFcMR6QrL0mkw7Jh5cIiDqJzZApqFpFxF5bOWB5rmcmOJhQqmeAH0+8pHQ7KQ8kH0NQf
LOQYAPiM7EjDsx2fWMdM58mooNZsGycRzjbOcJ6duJaOfYeaWK9NXhaERmN6QBdEjG/CmSeEKqVD
taOKlCCrMqGNT6MCQZYXPVelSJ7nHuYiH6pGXDUYXxV1x3PABt2umzLJHjQWkZ765YZVP94ldTS8
07BP2blw/tI2RVLiAZFah8SdFv46hHEqqmPGFJ9wrNWcKzLpFHVCexL+TGoaVqZAX5I4H40bjceb
NSA34unJmKxhNjdmnGfxLnIaV/h7kWIQ2I+RiVr+YJkxAn+oFvnIYIBJMxq42waZNywtelpClON/
FbM/eRD/tCIAvuYp/v/PfF8RUqdV+v6XVeHnH/p9VfDd3whW4j8Jl/4zmDhmnb+vCoH9GwZRB+QL
My0mgzbd3d9XBTv8Daw6OwWrgMc41mQq9cfi4P3GT7MDtLN+IGA/eP/J4uBb/4KQ4+VtwjqukzXG
or+0kIPRq2vIpNYhgJJcLFmIwVrSXqVzOLXnVNlbkCpfpipwF6hLnLyYOMTWjgnkOiU64mLXJCOH
crR36NOtaItNLrhHatSgsqoW6ePESYrBy00b9c8RsPiFnNK+A1TgidkgpIpfkIBVr2IZkzTlUt2N
tC8+3KgC57qUZA7RVO8IQShw9NKcsRuP3yQ8J3ztvdr4nmtfv+R2XervoQ96LzumKFQvIBm3EiFT
QD7WySS6J9h7Y1RRpzoxkaZkLjqXoWfR2YikNp4NxwUQBvJm3DYkRK38VuLTK9PW2VBI6IsldbGR
KFW/FEhsBYTvMeCy1EIcLJyK56yhEYymd1nahF2j9kMTs0PMgke2y7865VydYsXJxQ1mZ+OSmvdZ
Zh24MytyNoaP2xb3j3q9dqdo/YKqcjqGiXVTNmhwOFPtybui50QK/VvfFSnoGk34qQnhF9Ud3d92
Hlv/lbEtSV2+p+lpELlLqQqRmVFQdMXm+9SJ4q4lnKzdGS41msSb8j6wjM4rj3bmmxMz07hmDkLa
WK5ybnEtOKRaz2HucvC79tHitKc3UjRLn7C3C6puWVOddrbNsRwKLtWRDQ0AEJw70qALEk5nlL8t
J9JrSMDPTsT1l5Bw+V6jxqNQaslGoghMSv6Ma0+5f24qArQEattyzcwmes2Iq0vX7tLg7El/XNov
MYj767E5qHNahFVPZc2AGHyHDMYadtvSPkTlzscoFzSE8uthRkAW0jBIOImSdcVp0+kDKEoANGb6
LEtTcSo5mxKBws6YOTMfyA8pMkUrHbRF+Ux9YgRLJa/gScVbhuO0Bsoxat6wSFMkxNFIMeniSsw2
gfYLZxP4tScuESLxaNf1kRnf9M24lHQ1PbdrKyjNweTiFrs2COqWvlqRZfROami63bhiEs3rEQ+w
1CDe8uHpClOKwWjnCkql+S/XU/I1m1FjhqYZ0vVLB2YwaN81fIhoEOZ9kI7e+fqKnr+Mz695ZaoA
J0iVJLi+maIprGROJU0gBoJfR4lx3ktpOe/mNNHU+tl/MWXzRgVB55uRJx3XNHOdB0TaNBLtNqlv
UjuV3TbyBsoV4nL5+bGNzXlPi532Ia7yT06fTcbr9V0GbLrxAYosKXgIJ3izbuNxlxnCJu1PFhgx
i7yjBu88xfecl2M7P/VqaTvXxfKV/mxE09gzu0sPhfsUeozmJlnz7+GU0snFaU7dbyxNeZS83BDX
xARfFaxQ166zgyFg2qVtU/yYZ5c7MvOM5Z6yBIMsKoGgREKLQfrkk9kOUaTJ9Vr7ea82fShA4s6e
ejSvOREZY3qbO82GOzPQQCoQCVsr0jSacx8M67pxsbq5wmgRk4olI6WsYoYLsvMv3lIJZWgEXyl5
vGRjM/2j9Tzhnb3GjfTO0EVAYoR+GrmL95kKyh1qcCA1Y+w+DGnffcuQd8NcY9N5LcJCPwWegSxN
SG5sIZXkw3ABzp7pGHw6Qt3s1Vy7Vbd0Qwobs1NF9ccl4zinQ9c/KLQ8ZB9T3W6tqqbE5IRHTS0Y
wtzEOI1ukJ5zfSedREC8SY32BuhpvGCp7pTlOlvmYyLGPG0TUtlCCoPI5TQEJ6f2vi6CJFnDGokf
libBI1QCkpzHfIkc8/NEIA+f/Z2h5PTd8Uv7GMmeNOMxsD4K159fgxhNyI5Es+zcotj/bqNbfx5c
d7ppSkSKRE0QQJEaLzQB5CuHxW5TtXlPynoYpDSSQGkKbRRnS1eK/6arnRmU07aKzfk7c9WcJ0AV
3SkgUiGD8g/5f1XOkf2G8aE79Yox5pqgJutmmGV+y9nL3TCgISo7QvPKtJXmwdmN24v08HYh6U6c
7RxI+G2aQdOx6nVwAV5Izqkh9JZywIYyHIydRRuS1fxhduzkZjTDPSJjvZtHe9x0bd7cqqECEW8M
0X01SlaTCSgyCJfh0apQ/FIcxus+7GZAMgRZnJu8MsVLBAj9VSWFfILleJ+4Y/uIGDJeKbg2jxEl
ylPlY9EuBt0Hdy0KkUOKE3Frxon5ORZKn5woeJ5j4X3CqiL2tXZrGIEKOz7PB56Pwyj18uCrAwNl
jtmNuCczol55ZZO4pDQkJibruYAm0fbmA9kZxJUL39ySEUKAcGZLTfuoB+NZKLMyN0mUqC9Ro8ti
DTbczcgDHQb4mi0N07VhYaYeSbJYB9rsnzFpB28pjlFQ/qlt3g2ZM4AGMpobJnvc1crOvmi295Mq
huECkuiLkkF723QUBSs6wY2HCTvqz503A8FyQvE0hQYQABroD7nl9T9GR8svE+3r9h0QYDE+pJB0
YjSmM7Y7OsbrppWfGVdHD3SrIux6eUSL1NLnsScPA+Mr02hPHofONu6k7L0tMY8kFEx++b3oFXOY
OcXG6E7iIUv78Q2yKpnQjNDv6Sm5d3ogBGKVVwmec2QOzQX6ZX5L2ISoNslgGg8OZL6N7wxqy+WC
DOp4+th0ZfUlHXoHnHbzgqvfJMtBvhIDOW4xGRLUmJlvlohvMpV1Z2Nync9KxTaG0pxpuBV1FhTh
JDl1sRPf2Ri4bwdfHoKBtM/cJw4hMa2BVbNutHNWCciPkUJ2LRJmWZu4EUPP5mfQ8uVWMdPkjJup
XnpSn6LM8Vdx4ZXM4GuHzji5kp4uio1FXcdaCNI20ZABYjtEdRA7rUeKM1v4jjw6U6+EaOyHgBjN
e9qu/VONV4aNvhprPk9CUsIMrsDvR1C/BE/S73nxzNY6VdIgWMLWpDcS+wvirCyfaCAhrc04fuwE
rPiNZr7WbRtTG6uh9yA3Tl2S3JcL5JVEkenZlHI8TZ1tfjIkf3D0YsCyrj8i9EbDvOnL8MHuzXHf
VANaiF44zQmEW/uYuMBwydXoFJEaS6ZnomrrOOCPf0hTz9zIyLvBbRac6zyeXsyO+MuVW2KvH5LP
GRk5a9e1Ag4UeoxfxiZsV36ne3bczj560BkO2owFgahJAMXX43voZaaAleI5Ix8JTaPcTXni8iSU
fb6GrgHCJB3YHaHkx0yFy2LfKCd4bUI++Nho+RRltb8jNDfKtmyH6hBkXbppF+xTwBTY1NJ6TCKv
YribJc5mnuLuhIPIsRGHTMNJS6feMYvW9o4/o2/9Uic05FlvPrDoeT9gvqhtmnvufEjCvviGsrw9
hDIER7McrZqyk6tixDMzO1YJdqLMPOhUbbPNYJSS9BAMt6qx8P5PRb+eUHFsCNMVJ1Br44UpaWO/
sL/lt31VgKxclyHuhqxP6d/neP+GUsfeYxEaNiBLAx/52GccCxjPfM0tYca7kGkED5DJWRDYY35H
a/EpHgt9Jq212yLWAJiRdUH00HEMuBX0s1l5Jzv+7JcY8jaznXHGcsK3eLDqxzlSGQErcbJr82E6
o753L22VtHIV4mzdDLU7HO266E/aaqd9gOT23nL77jlR5bFV7akJZr1pQwGEq6u7bwRy49jpW3m0
RjdCNRG8clAjHLqTOLKk85DRdyhW7si8dZfpMi6OgNGUtUvDeZ6YpskmW9ew/rNVSdjp42CbzVed
l7QxWfIKpoZVSfsfaDBYZPDB+SCN8tu0UIWNEL6wkZC1vo0b8hK+Bn3z3AxTBYdY/qQS44ezkcho
wlkS23+swRfjbgZkTEgBUGO7Mt97FTa3GvAXoDLuhZtcpRHfczbl2yDPEv8R24hrfkpLfiXVSuZV
dE+KSUuMLERNo1i7jfqEwKFeO7YMYv8+Fk17z+5305fsoOrwp0r+/l9Fykvh+6e2GZJrf5Fc089z
Uan91F79SW6ac1iKvM6sD+60JI65acYxcbBovv7srnzT//ffx1n+VcTl/nyh0CMBkDLYFt7y///0
QrhhHKNl9nC4zpKpUxnp9lXLWY2vwXnvSBZegpw159GZBfdnt/c/ePVF7Ak7BTVeCGBq0er96dUb
2k2+iR/xILNGPHtKkRuPpIyjBPkqtTZ4Va/3OQ/+HMP9/TW2/qo4XT473VCBHFqgS4b8+stnJ33W
iGrCnw/dNdJqVBB8bv28RaacdVRQcLf48FcFB5BBjiumJEGXnKTYLw6ERVnPf/+G/qpMXN4POn8b
ib6FMd1xfn0/caiGScTLYEZKZjI27Qc3TcTzjNjqI4QKsv/713P/KkxcXtBB3usKwgVMh/PhL1J4
CFgTnc6uPlRgyM99Qr3WsRu/50aPjFrUw7ekMB3nEo/BYN9I6dlEsXTwAspb3LYF2x2r+daD1yXv
GMIyKzM8xORSMMgfEzK5MC1yJzlgNzirl173YcamHdLFcfr5SZDsIreAj+UhHYbmrW+Y7tfuqPon
aIdut0M/Y4Gnqjx6y19mish8HQWaKj2OUDSk4MEY7rJNPENWQBsGEuaDdaL6EQD/e7LDmDKubzt+
/1XUb5aO1mcIEFAm2TBNqmqgLg8IDYZuFzLb6vYkHMnDxG+Ud07dWN4eCREpX50V1G/XBsh1LnT9
Ev478PiH9iZbmvm37c3995r+5l+6m7//md+7m4H5G8sGARS+KVi8iAT+3+6m+xuK9cXjj83CY8DB
//qju8lD8Ec3kxgNlLkI7Akahrj4H0HyoPL8umZD7uNvmHw8vEjIlqftT4tZKOiBIx0rDnYQvynQ
1au+I7Lc883PleE9wQE6VObQfg5KC64We+PgQ0nTI9JSBoezAa/KVuV00+HjW1WWcmHY5MUel3Gz
8Y22WvdjKH9M0egBDfEDTNCM/jByNl8ACJqPhuC4Oxv9sLELRudNkKa7yKj0doj9x2xMg3s1p5s8
6MtTpVLFT8NDa6u23XaGEJuJPfpo9sBPx/Ju6gCENr3Tr3jKb2gMzA8umq9N7St/TaDE8Ez2Tc6M
VuNxxZy/guL2oGAm7cke/OQ5JeZ4pYo9J7zktjdT65QRQ4DKsErvLa+TW9fw2ntwClsnLV4HDWAU
tBHaQM89lP74TtuCitce1YZSXX9NGT+eciLVVnY41yiMWm/vdsrcSkf6e0Uu5lo5BXF8tv3RZ5z+
0CBEGw56tD/94V3gsVkb/QiGNidQLUXFkM3IQWbkBVu6tiuV+NVj2Xa7HhPnXBt3EaX7djBafWjs
UK20X1uPQFiKz2Cimk/umO1g4WP268vHHCfDOS0CCWUq8ElqQAZ3K2EXqq0ISA9pKfk/D3OdPuQ2
LVS7A7lm24jw4cGN8qm1jehJOJZ7cnJMmiujdGlm9V5LQHmTXiT5Ap+jEHUlm2f4SuplXqGfG9TG
q2l1JCPj5E7RCWmHInjwlYIEXNhsVYUY3UNvB82bT6qGt+iwi9cqr9wT8oZwb1IOXZyKzi60qEUN
EZuNPKN+CTZNalNGpqEYrFUytBjIRVMdgZgyaJprszpidx3aVQsEp12lRY7R1KrL9GKiwz1NgW3t
BP2KLz7Wbm+jo5gus0A8ltHGeiJfrqROTOsni53hYnuoQZwlLD7WOvvSNPCIVwhUGXHRjySdDpLi
T+XV5I4YgPsceBV8AJbkFJHsrEoUFjRCOHim47S59pNb0y5eJzh2XyUSlRvDtgfAWl3PVcW5SO4S
ok8uoLEe9UTHMzTZP0b6T0fd8yORdkwEF1bxdC/Arb+6QzTlB5ecWUhKUzw9QlblPZY1OrKc5JJT
V7skd9oT30MTFPxAq9dJSz2RVttpLKeNXswPCc/fPoXl6a+0JqIxQp4JbCkBqtdYMOmmltEnBmPY
kIPdfKehifZjqJu76zvLoqwJdiPDSLpwQvgPMTGi5CZKGJF2lAQPiJ0wA7Bp/yjAsx0rtxqeO7Lg
1kgEPDpBywfv7XJ6nAa3f/F1yW8sokzcuAxcug2pVNPWDDvoHsrJvlzvNJTkvBrZDeOwsibhnlKN
1JRpb32nGnQxK9Spw9qd2+LVCZX4BAM4rbd96fgPOEydm3rRpTGbqMkz7AWMpsF3DuC8WfUGpzoa
NLLo4UWq2dGz7j96P4HMZ9beHdDo6USbTjxG5C48qtYotwl3JFGAoRt9CYVsVzhLgTtVkeYHQbN+
kD7VwK6IE+MJKyGAIy+rn9q4DWnwcQq5flvoxcj1IC89oByLcMJbzFCIh+XK4YN3zxZ4wWjlXbGg
XsyPH9QCZCg0d/3MP9IgeAukM60FI+11l80XSBiXsZ3usS4+jy3dptGtv1QpYQ4wU9ZhcCv64c5U
8X2ycKOLHrVnJn+4KjyFVF6r3qB5JfxH3dk7e0z2vTe/xrIjTtTUNDEp8VdN5G4Rqq1EM9FtElX9
2LOPgdKwa3IeUst7dJrsBXTBIlZhDc+tgOQjv7HXll8567ScLimyQ6WzTRcRTVn50T0SGn1nIeLb
BXU8kcETeMneq/OlQz0626mB8+zTUjqMY9Gse2KUko0hrQ8gjuuxFd9b+h2nFlP0KZsHIgdFCQNQ
uN+kheUjcB+Y+BXrfBzsO9HG0ZsRi8+dEXzDgFLCT+nKHXivHoYboy6jtKdN1s1FTmNYjOvG8+on
aLDOeiTN4KMc3bVgJrZyZ5Iumx4MYTY0DOLzvZ2RUuK6M19w6lk73dIOytSUnymcXzywHExMSCjR
U3ljIpw/KBbhjRkMDfNE2mNmOByhcTY7o67fWk6jK0245nnKTf8oufH3CM6wcozRm2mVFB/0vgZr
+mFPzWOTBv73VPjpwVGt+cX3DLCmef7cI5p7nybDpsEFYiy12wAlAI2KqAv7oxNGDq4QSuGNtkeK
h4yeOcM401nP9UaE0VNbdh+02aPtomi76ARMwxZgfNozVBIm5vyZ/ByCfAgttbxLwZr/wG2FWciL
rHt7Jv9OCRqz63LA1o2SHi40uR/AP0TzvXNFvoVkcIPKHqlE07wPRS02bdAhSbXGz2Y0j4wK2O2p
99294Q3f8E69UUvvzamNXpSF1cC2c+KQbZWva8c1bqXjvkRTZSKhjDQE9Sr+zPSDw3pnb3qshGdw
ZvGWQ0Lw4fju+Ai/1HrJEf9zhiCHa9053nRUfaRcJq6c6skPzF4yRkIrp3PK713kZ997KYtjKAma
xJMQbYiuGXfs6WqXd/zZuERtNvfmxadp9GA7NqzhpOVktdg+VCODSzM26ktlTsUXJSwbnh7Vu8sJ
a0WvfoZ3Z9es5H06LAZ+wCYoXQOCgHQWn0fd59axQzhKY5jJykWEMB8CHAQmj0TM6Fcbd56FXydH
YNjyJQIgimRsUPFkw9lnwsodUxEHQLxus1RAim1QkytbB6BRHLeMtlHrltuoa2Ebtmn/qBjAZdsZ
6CqC1LAyCDsI3BtOCjmhkHW7TTXDBDJ8anqUUv9ANCLuLLxQL0qmChKe337y2mW2wFq4iecQKo6v
uo0BmWVt+vNNjnbmVI6jcTRrFjDaWO2hjtwF4tZn64wAUEK0iV+MWoId0dx/xeATABuJ1F3O9O9W
RpXc4auQ+1bQ3BpUDuG5kbe6znaOYeyZsXj4++a3TMq62dAxg52vWolCMLdAR3bFrnTMfk1z1Nnj
+L7VaTLt5eLaRfXLAL/oxvs554yXk37KzjUGd5Nqi6c26+gD2rnxZvfhBbRl9504Rw4gSO12YeNB
jywAyxp2SzNWpsymJVBfk3HwCqnrIztoTTQaUukmHCbc1cp9tRu910rHGyCYTxPihItOBelDQQAq
sbL2nkL0VljkSI11/L3V096G3LMa25rOPzJoCO1aH9PR6takzkQ3qo3Oadw+/g9757XkNpJt0S/C
BLx5JQnaYnkj6QWhkoG3mQAS+Pq7UN0zIVGaUvQ83wcpoqMpJuESmefsvbYdOdTCIz87TLOrTlFG
81nC5U9yg/zv+T7ImV2Nk9drbjqEWZMUxObBQcriOwuI2IZHGPLG4mKjZ0UgAbD+5zhuia4jFTkG
dkW7cFIHmsaoCh2WKjnQiTJ3QpAtIH39BoWTQ1c1wyMKy7XelG4K2UXEQzJ9SXJ/HOwVe/ja3PM2
fFGlfacB6NuWYMjWMSX8BxBMc2hMs7iOM4eotcGxz9KZP7SzlYZz496nQa2ts1nKe9rq5qYgUOim
9RrnlUToaZ2Z1fxqCEOex9LTtqkxfOviCeWRYw5nH07JxvM9+2grdj8reLa3wViYV6PntvcxS5XQ
jHprM2neJzpAEQ6YPvtMyuqE/rCjxFtFIEQ1ENZxpuvkEgtytYcUxWTjo0SPmoLGuo090g8eA00q
ZKL2abZYaKN+/eqZI/TvtiToiTSvorYpbZhiE8k0OE4xnGRo/suiH4W5fNXtUX71SGG4GsdKsI4X
9h6VsnPoQJzrQx9g5WMto23yQeYHWENkv2FLn3Cyd/BZYRi8FJ1enEVSfmEDGpdhbbZ9sxrl7JyQ
pNSbtEq+tIsODN5M+dUb3GXOiqTc9gQqbzvYsh9Zvrj4hfByoCpAXm8Z9xZNbgBpcyzwlBXWEb1f
uyE6lSetr8ZnF8zHqW2s6mom5KNZt5MsbvKq9dDT+FbyWrUCfGqUpWpbGgmvAj2A8o2TCnzlaqQp
+dWPocWhxnOM+7SP/RfZeQiNrbJ6nZMaUtgQWTbuIJIGq3WvjxWpJLTSHGP2T+CjarqBlEt8Yz6k
UwTycWSTVadzfg0NdPyIsZBU6RYq18qpknQN8XasaVXV3EIxi5Ks9lGCVGA0HyH6LV5/yPEAzWtC
r1I5T3iaiLIjtUnIHraNGL4noiz3nkVPFp1gs1dahR4H9gg4OwrplrjKOyilTdz5wIv04TamwnVv
ZcG8yceW1W0GgMyJa9ImIivdZIEfHflhT2z8MGAESb3ViPw9FK4Wd3+hGP6/6vOHqg9tZsom/13T
tv5cpN/r7kLV9te/+rfUFT0r7mWq8a5pvmnX/lP2WTAmgBh1nQQDH6HQwkz5u+xjL1JXXJcsqYyA
gu9SEfp3GchE1MYX4lj3KTmQffFPRG2XVWUdWoNhGi6Ej0X3Stfg5zIQ5GiSVjD+XFfI+cNhZB+/
qq3My9e5Nw6QFJzpmKmhykNdz+VHWdvDU27T81qJoGpffjh7v+kjGD9zK5zl11BaNz16CDqJre5S
A/+hKGVXLOiDpB+uieZB4p9Til31qIEIyxxkDcl7tGEBDQ2b2q70F7NU1lE+iGaIvgvlqfoaSKnf
8B1JjwmiMJ5mpCjGjsJx9A3EObnt7/9i86L18faLoaNQlUfdwer8wp9vpziocUXLa0s5MdsZNRdP
9MV9ayu9idyJgbSJbJPymqUj4RKTxrLd2pVDBwWkG3DsJkpAuUOSQJ9ZpqiwKGYjR/I6Jyfsoc6S
27wPjqUAuLbxoMQ8k0XwFo+owlRo7hny7VD+odT+62XwaBFjQPYQVLrW20H/cBmItohxmRFH8CYR
q2Okmis7N7k1aNmq21F1wUMTGcWH90/mRYFf9wzCg/2lucG9yF/Lz/phWHaSsd2IuLp+M3GDju5x
L4L49aPk+f2ReHx+bFi9jRRgsqdVRSYw7fafR2rAD89tl9TXfqPjUR5rpFaR9OGh5U0S6pSn5jWd
bL9eZ7Cjyj/dNBcBJQzPjUIDw0YW7zI7XAyPxBQ9KJTAa6/Nnc9l1tPEgHBf7Jy5FKEL6n41EcKV
7MaiJZ24zWvvm8T8eRiDyb5SrtXpiG2ymgWVV5VPVoejZ5P40/St0YZmo2tz6a2doLa7PQLZuf/r
dfBf+2DGrxfK95Zpg3hmWAqocn8+fbrbk/hB3hPgxqj8nHZSkACm5ZL0R2uaqvg4Jmn+GvtIuNTc
Jlu3thV2QGPwvkvWbDXCxdhb23U2fEs7y/tKmTLxju9fYtv55SKzi+Imgi3A3MrTuch5f7idXLw8
epdI65zZ7eLuQXmWLHJGZQVbysn9ulOtfkfVixpFkiTeujOqnTC7ZlfYjbkms6K8bwqnVHDGx/hl
zMr6MAlJzpvTNk8YUqiM4X1a93WWQRsja3ZkuSKq67HRxA11RyxnsQHnVJsj2jrkU5XEPcni3szi
23iq4N0Xvddey6h9lGapWRvKIpzIdDKZG+x+nlco5LKrInH8jxH7/mMCmIqEUjUE6xEYZ0mPekoP
mt+RjjFO/ryhDK9tSJX/Qi9YPiB4IWqdgpW3ZefWH4jExbKeGGMOYpeANCS8efQKCKRbODGt9qkv
PTIYGmEe8rpqDkYbFF9TMAo891aZP6RBpFiptHYMBrbr1xPnYQduI7hpx1KF9ti1W8NQxhCi9kBY
RYvSb9eDmURhKSyMPk1wg4M41rHG13LPq8Yc15WeuStfesUHoiuTk9kFzYNjSfjwAfTerXDL+bPv
1gTh6nimCWvxyQ5RSv9simL8LqBGsF40JXgMAiiHeKsk0VbWOI7hFA+9v+3qCAQs9cR9xUdBWNhd
zYkuB4+dS5ZhooxGjE2Y1hGUSnatFimm5a5z85BNxqTDESQuKBWskMkJsFu5pYYbiJ2yPHXl5vNc
RHf92KKTwcRbTFX3FT2Wac4fxagpryQeu2Mqr7+YU5lJq0MxQ/dQv5a5LHN1DCij7oagl9GhZDdI
jNpSeNY9PLrZRDF43XMNIloNOhEnc4IalMy5iPehpJTdhi7sTX3d4YyObmAMEi20zydvXCJdikBe
uUJa3FFjVBsCKiLvwq2rJVl0M/DouPG69RufGw6ebrmtirQLVkXLyysKMXC7ay0KaGzi0tapztUC
I8gaZiqa3LHwECyLiFUB0T+L9dCfHWbMysQ3DsljMTcPArXLrUg1OvR1nPrftZ5ARrwatSl3qY06
5Zp+dswS1vKkR4BfpUQ7T3uhM7slBFQn3lJvGFBfB52o0u2EEGra60KUzdoxJ2QGnnImGk604LX1
ohl40ZqSNbtluXTD+aNrN0WmE/jUy6p6ycoyKA9Wh5ImzMkSuJ8XJ/M2W1ySp4RUEPYWELMSuYu6
oakeeBlbWFKQDG/7hl8Q1rKIZ7YLagYoiWh1PJf+xK2t8ah0BGwY/bGDY4emK7LifuMtQcGr1BOs
T6o5s3DE5Vbgbnx+ADHXU5m0BzwxNlpgLyc9Kc9ba0PMD2jrPkKRhYyzCW4zhDH22kpbmsclblLt
pIMv2RpNFDv83MBr2AAnc01fy4CJkkNOoVXD51YGDGa2PS18eCobqTavpEq1T1011ZMGxTL3zWuD
vhIbEH8g5+dxInOiv3abYKo3FbGBZ6cnB2YXC2Ru2oIE5mxFKcF3uM+LKjmC/6CnLqBZkgclY/lo
o5X77CiEWJD/uXnZHSpksEgFqc2X9MjgI1htjs1gjMKUNBUE4DiTV1mcDQ/CccfXpkus/eChqUbm
skjoaVHyPU5RY+islpb9rBrLvsMWaTxSGuYTI+hJfy2h4qhwMMuMzZUy8etXXizMm1TDkfqXH4Ic
JMTrXiHYyKsJEftab7H2ojGr+GE1Qk3jxBsM87MPKSAsmSW7DRxAVR+kgIxym3V9nt+bPvESB2Vn
Y38Gr7MsPhfHvJODHAvrsWToup7ReSuzlPNuIW9z8MtPH5mf+F2LT9l2Ko6ip6QWrRJk2bho84FH
pykAa95Vnccjjxsfczj/jznVlPicW8Mmq4OCaILdORk71Z9LLUE1AIqzJa5R93RKjBS9l0mDh2nN
ETGBKMIsWSfLqnyOTCs4+kNK0d9PsKWu3+gIY7WYilWHl9mSCu9qzDI3OxGEk2cPPm+Lnah04/qN
1mHrJtE6iZ2k5rH246A/RUkdD5up89qRBe5k7RqT00oNr52+5EXu3Kp+EQaR8jnkL6NbxmJfRlr5
fZqDZQ5JgRRv2AcglIY8vRTO3TJ40fSIzufYYEfzKFyHUzcm9ynG2FNQ5hnCYQrwMdMe0MjVkJjB
M5LlIQ4Ls1pE/lpkBQe7qo32G3ZRaCIUMRey+zJjg+nVOKNqmIeQlwzSMaPrkR9HQSHJbEsAXbP0
brNPmEWDR21imX6cA0lHQQoat6sS9e9wSEeTr1KUJQCfjTH52Q2Xha5tHrh0ZIdBntXkFQ/U1lsS
MMXeLhUNznl0uTi5bizgcWgl9bly0YSSH2rXITbqcjjF09gka98RZfLISgQJCiwLKhleiq0hTwSY
7mAc/Ja3wNQ+FHFrpB+MerZ8DAyswKanRlrYWcDYIFZJPC2Pj1rUjK9JrJOrXXjkSB/SQDfulNAi
fAp9K9IwnXtuUlKwMutW4ZAg38lt0MdRNdKJjCIHWq0nVjcihLjDVRsR4FG9nD0a574QRWgoS6Gs
K0yfmCmfxuAqtxVmiCmadEHFS7jtCyAU4zFLOu413nRAnQrQybdVUBlMsGYT0OFBxkv3uv8IMmH0
jRWsYO8JDiMN8NGJpX22o8If7lt6FB0vd+7okO4vV5ONA4SW1JIAYLyuSaxbU+mFi8SuDjgupbT4
nHcatvRSRMwZrMZ6eaanyO/vgjzeisTPExpPuk5ul81zTx8SYr5NbOf5bVX6/5WUP1RSDHIr2AX9
91LK+XNaffvRG/j3v/i7jOK6/wqWkGc2o8CPyJhmH/63N9Az/oUyjk2I8x9z8L+rKARVopUxfY+9
HnJBnR3A31UU21ryqj3SyZHkIKsjI/IfZFFf7Idsf2kC6XwP+3rqKYsR8sedxhSwnJITXG2Cd+CT
OdMZkvkPZ+M3pZFfh6CVTP2IchA/2TEuhojGnuRW7F17ippEAvmkRlQr3+WU/uec/w+jLL/ihy1T
B+hPwcaZ9171SWifavVNOv+IVYmzk932jweyyAp/GMJLa6bmgSH6+c7T7yYE0/Pr+0exfMWPclTM
o2+K1ABGJTtt72IINPJmNbAr2qPWpo+pBfE6beq7smx3DrumPxRLfrkyb6Ohg6SI57jIYC8OSDlK
OjWK/6lmTaYL/kKXi7wnborN+wf2u6EMtrQBKkg8r+ay4/3h3OnCbZSpDA4s8eNHxW6E7sJgnHVJ
UOL7Q12UgBYDbgAsefHmQ99FK/bzUAbLr6mwGKpCRXqVF2D+XJYI60jNatXGCnvXQK/j/UF/d3ws
SoylvukA1L0YlBhWw9RIutzD7HNWps1f7OKRRWn89f5Ql/K35fhwBPPkUmp0f1Gv5hYYmabRuj35
bBbENig25B/SC8tNvBNEjLa3zUQ/lddhcu4Lpf4w/nJXXN6jQHWYtlzKuOYiLvzxUk5UuhI9ZzXk
l6iGXHAgK7cdn94/yIsKyNtFpAQCChe3MupC8+dBFLtsErrMbi9la+zYF47w6Dwrui5Mfd7PEzQQ
2kOsW7uy274/9O/uH8t0HVMHkUj95aIuGjgIjmPT6vYZ6PWwsRxcpplGmoan6UsYaJyws0xQELw/
LHDj5Sb5+cwaBuVxz1zKewZF9p8PeslVgCSAJMTRqu5LDSwYF4U+mqE3Mus4UV7ckwwAlLLoo6Ml
dNIRhMUlyBR1YjWMu7TpumczQfNABJ/INp307ginHJwNaqzxKqAfv0WIrW9YLhPeThblQ6qbfbLy
aAE+TrlPwSjzspNwB4+gx+ZT6dNh9n0RFrUx7HvCXZ03wKYWGO4mp0Zzxh0xrfK2xwOG/Onkdn12
SPTCO+n+7H7USq9C3eZMyVlvNfdUxBBMZ3a2YaI5w0nGZc+NqkivJCquv+oJFHxKJf+ZNIlJibDF
EFF6xyhFg0CiMM44qAo72xRXFHXlk6om+26MemOn9V4R1lCADtg7EQH1hr2lzMUqXDXG2dfzMsws
W7G3UcM9+3a+BIXmlYcxIaxn35wodwvjHEUWr8KMaTeu++QuyobxC0ai6W6YrV6sXapIa0CrjJfO
3xaoxIekIRV3U0IAfHJHEAGbcTa+dR12w7UjbPlda22SkekUy+fAROS/Vcgj7oZB54uWEwwf4FxP
DmarEgHbGoacuykbfGqFG1lyBRmSYoJTeTBSBQ3VwJHeui8y7TqL7W9SaGRlTrL/ms3qyZ7NbwEB
kh+V6WDe77X0g6RHfUBbwikBEGnsMMF8g4BBuSShMbfPWmaMrGi4COBf5TNlN6yPit+R4Xg9lojD
n4FRe2sgSt6pJDjvvJj3QwtU9o4WenJHXzk7xBWexaBrOjxBvr7DLT/TekRZRVjLxIaYRMFsPRd+
fAQyaO5nw2UAc3bXbZvJ3Vj6OTFK7KTzeu4fZBPx4S4Q3Bh+SthGPNULRyQ/+sy9CGDrPgSgZ9/4
AacTOiwiypIy8sZk2XRNgSvLDpnpllvUq6gXVAvaet13kXFv91F8N8HVfMgqmve0TVPnBn1mtkvi
WKcc2EWvEZRqMidNLbo2x4Co1DzxvH5lGzhmsiiyb6akQ8MbT7BK59g+Tk3XQljEvGuU83Bw0Unc
Rpql7cSymMdBHF9BuHuOyna+Q3tHLUs5g77vk9Y1D20nwS30qlDrPE2iV6mWtJ1mBLJlaT3wtynx
v9vQCL8T6SvXQhOk2nhG8JqwDwrjvrVxG0OqCTUBvSuqg+V8RHrubiCWf8XxzpkUgypCCLX6Hr3A
tEd5Y14BOLIfdXgwYTT5BmmnmmPsfK9arJ72+ME3o+FTFTnJnV62+n5IzcLd2D118NRLB2tV2ob/
xciFPKIcKK9RFI+fOwQ056qPgxtlzNYjJbwJsIIgL4okc+c0mgg9rSGfQaZ1/i0mgOozTOHxrpso
QShcfdfs+10cut50Fm3gnHLa6zujdVCrTdJ9aCaLKvg8zft21PxhTYmFAbDPMHkVJjGSHRLbajXr
EW4ljAzOJkVtuR2iUSedw5XlKinqhIzdIfvqzK7YE+QpwlwrgdBFhrPBjehsG6CfO1mjeNqIBrsf
C0o77HW7PRUjrlEICW3yOJslciP8YnynEyUu7WyywUyvmo/82hgKQT0fJxRYJyczoaE5UdquM5di
MY6/LDj4bBa21N1dzJxxcHBEUG/p5te4EmMNI0SelhwArqq1jwJhywZBhvrUdQfIggWH0ZKIElGL
Dr1oIV2aehGsiWPlPKiaBY4Jb+YWV0/7SmWXFLp6yO9QYfi7JNOnNcTl9lOKVwzFjeftpUkfw9Or
eWsigjphkax2Y43IGsBn1gCnrY1X6VViwjWdRt8FtMPnSRDBDRMnP7593Kxc5wExbHeYVFyaq9nx
sINTyL8R/iTDwc/RvHIPz5xd6W9sIybD9W3IdG5ylg7CRuQ0mQE0iUIu+XZSvHhohDeDk/BRu7O0
EA/ldK4aYupNEZv3dqWij5md1M9DWhIlFPTVDpEipbnZ0HlX6+UazWCw1lWfH926/wwyXB5oDIHO
iXuqMH6UE6gzLnkrUzdcB9TgybpMHC3sKD6e3VwNZwBtpM9ORq32NdY4ABeNgTfHtFAM6T5Ao0wY
Kqf87uIEsLN53ksqZN1KV+68D9DEPxhK6B8kheC71BZcuqb0cZg1fsV6xqUPPDc9wxKRFB3VjLKF
es6wrr1WeySSGQKwhu059K2ZQBzP6g49ZsevgcGnsc27D2XnOqfIqINd7AqxQQQKDallvQmz1OkO
VqPlzyOV1F1Vte5D0Lpa6NgdBWAJjTnOA3Qhy8tOBAb4hQxe6eh6WmgZdGjqQIC9jEC1WIRtf0aa
SQp5ww0Ozj0/ztzRa3xOMkRnVn1DGNUfTKGLR5GjrOVGim/dRItvJIwIlKSkxbm2CHZp11Q7v7Pc
D5K9qFz1qRldFZQWcTohjNqZkaZuJdQNnEL68G2oIu2pXHKKEUFlxsbX3L+vUy5V9H2i0RAq2xq3
+lswQ1poj3GUM8lYOW1/kG+h5qj0Y9UL/w5YExYqvXdeSF20X4ZOs18yp5mueVO526RNtM2UptpG
A5Gyh4Jcn+Gjd/dwU6vQBJ4bEqeqrt/OukQRTcnVJx4p16Ei4gelyJ+dnK42CIAnd6rqZ/Tg3Ihb
zPP6yWuTKiQNRB7KSVph05bGWnW6zUPsBdOxpx9wExE3e4Cmjszs7V6eUfbcYU6HZUhx4jRDjLz2
REUvqvBinPJyaFdEbeU3epuVB6Ko3Q9BFA07gCO2s/JTXob6bHP553Y+5wINIKJrYl5HIIxrHacw
U6CBwVdLX7t8UtdMCtPBbKLqhly8mVK+g996Es30rMPDcmgCAPudySvbekYOPTVAztznXnZjEQix
7S0zP9p96ZwycJG3VCy1MOoahV5N8OomcVjuPNin1krR3M03ptFFVN8Moud4Nw2HoItn2o+2AHkg
C5BZ5JjVj30NpqFnwmENVHniRLNOIl9CQNtBsl7HJDecp5Hw2TZyx61lGmDE27zSHoWu193aL8Fa
gAoDYDMwbeix4NGUToPIXKQOuJahhSzfDNVO4oF8XkDlYdnMLKuD1HjVY3s62xhVgKKM+usU+Ga/
UikEDc0W0TERPJgpeLjjrMb5rsOcfHRHewp9OXUHevEDWQLT0LSrMnAH7ElDzUyHYne+013FM69Z
BSq+iP94xBUaoweOkuGKHKtsHfHR28wyMNAisY+wTGb2LgXMf8j8yN2NLURLjujGS5S5Rqmf0ApJ
TfSRaflAsCRSSj+rkBAm2o69PRGjpOaZIIwmHwhG1T5YgzXBsUy1E/Sa276BKlHbLSLWTPvmt/Rb
DRu6RF8Yq4K87ysOI99gW2XmdGLRbX2/G8O6iM1dFKUDjctIwoxwaKlCHfVCVojJsZkd4KoJzo4G
9GtOH/SLV2lfxAzlwBTW1lRjuazb2oOfeCjI5/RxrKlHd74W75mtdpyIYQ3/DX0t+aRbtM0ftApq
BlVe9AUpUt6NP5JCnlsdEQW+1A6kSdth4TUcb9U4NqsqE08SoQRn1UTnpkpipPI4ZNy0QItcW0O/
m+cs+RT3FLdzBS14NfVqCJU/1w8NREAMILEOUR1k3CnJ3Oa2Qur9QYtxBfFWL7FvNv2XBuDDg2d0
ttoUPmle/TDNx8WwtbOLpN8jR3XUpo5b+5Y0vPk2i93uoYnTPBxKLGlrpTq6fbPrhsoj2DDqkmSH
JS3bQnyjGqcX6TFGLIkvRLavQTeXJwNT+37OCyeAjFvHFq4Ov1d5fhLVK8t746NiO342aMrSWjWd
+m5AZYStAR8TiFPo4IQrBDt0sjiw/J5HEYIACQ6BliySXq4iPiLn1U7sdsQaME83tiGzu8pBcdin
U/fR7VhfkUCQmNcT3UAgo4gfwO1XL6TKLErSqree9eUN6RplAyvAT/aqqvpTkvr2OSFy4aWSlrNX
sh2PhRMPp1Gb8i+SDF+MLvCxVzX95NvBa8qvpfD09eBCIxIiq00ekcY7GrlpX3WSHbirscEmuLyy
2esKuw8nTdpPVkXvNY/ApNMnHJLrWpu+UYv3P5i1V2G9mf11HBfz1hEFWmwEFCvWeDOvwqRM+lWv
KfxeRA+esqzI9lkDw6XBVsjl5W17nNhV4Ai05tVoAPgk8nYj0vJRK9IPqpIUtJjlaV7qNLoDSOW5
0bxAhrIghRRUL3Tba/uNw8p4Vwdu+VjnZX0l58I8dF3EUiqMyykCD2Tnjd9re4smPCQUG/PuN+Sl
i6i1cw5G7/rPSFkrqNS9v2MXA2tHS6OnwtIkcYpecctSMfusDKt+ytq8/dD0jfJ2DWI4xOERdOsd
Qu3IoUXBkgYrU3WHdXms1qJO1ae8c0243t2YHQez/xaP/gh4H+UGaRLVyWJl+6WCtwjexRMbV8uv
6RgBTQIKUOxkDiZn5FJdEWkwIh5oG3lNITC+JgUSyJK9kDew4bdnUvmitegy857n/ythRMkKn/IQ
oJczsU1Ecj4GtehvaTex74iL5Fl1AsbSRBSiARjrTkC5eaUM9slGwf0JctzD3JvC3npuMmwg0xsk
Ns7M7I1mEUbYFw/o60a5TqAy3Ds6kYFrPP9bF6wKuB18Vw53/F7za3uXJK53ZebuxOTS9SRJkhix
zzIzfnUmh2x7ZkK8GVqMRUF5j2x1eJ+QHf8pKj1908TBi63s8aQj+t/xLVg/FGIWO7W/klXbYTKT
02s8RwNakJGYP2FN2TkI5nE3dMhdgtr3d+1CDF5pASeFQJMXb0jsx3Sou23WpzywXYAshnYbOiQ3
2DqEukorocMbeM9MyPmNamb32LYujuwRBE0D9epzvcCOi270KRNa2bVLkgReHyQMuIFY3SqBJyMe
xuq+mkXMClej3lzKA6Ky8i5KNffWa3X0gRlkMyMZrO9GTMZinWGc6fo0PkZV0t9UjkquCid3HnBK
BRWBSXOk9R+zSqPLnAP6ZboNB3qNm5lOLclFvbsHRQcki9bXbhqs4gGRgr7qVdXASB/0XVf0RIfi
MFCe7hJtUk87OXafkMN7+yyGJjWyEDwykWr70gqGK5Zy3nG0iTIRcZuz/q2r771E0YyEpnm12gzP
vS/7li1Am+SvtZ5l+slo+uhEUz/bUC2B/Uzn/bE3NTWttcB0AvKNu9hc11XbqpWF3cLZthVl5LWf
dMF1NXUFUNGgWpXOFOySVMSbhhLWo2uKb0ohntZnlipda2H4nccv2HPKo1OYiJ8ch01SO0y0PvPs
UKaBEbKd2OMPzo48/84Hr3Sfy5i1sR3V8Z5VYbGh3PFFmGm/qfUJS0jG+xV3875X7mePLQgSoyun
Q/QjSQDKPMpEWu8bX+ygGE927VjgA1B463nV3UAW3Q+BFn1PyM67dXTNvBMq+N4qW3uOefSe8D52
ycYRdbtQHxU55jSiV1rl1DvUPH1opm21cWU8QBGhAvB+IfTXKqhJ14l2/NKcooF+IX6zRIDlNqX+
6rVZcTTK4QmVKsGvLrtbuI//S+UeFgR6ZaztvnGZmxd3rW5A+WM4tBmPrdnu2AGosI0Asbx/YMaF
ePKvonaAeJJlOB2Xy3wqCC1/F7URNo5fxFuRfor6rwj71Eojg+BMXUnfuf6sf05IK9/LkXrc+z/i
d9V7K0A07SIxREN60YjJUfHPKK/w83qxfef0NSU9tG5/GOV37RAu4VLDRvVkXtKIbRXZvV3Sg3lr
h5AERT0ymNTKsLPmD52X3x0QKnQ2QhalOSirPxfNcxwZIHFAwI+YmDbmWH9y/foPUZZ/GuOiu5M6
cN54WokDNuV5drud7Zd371+X394c3H8GF4fbAz30z8cRBJk/dib26YYX2DnudfMI6IBq+TCmHxKN
VguOUP0m7qi14nrXCRJHhvn+j/j10bN0HTSKz/MXsH+5aEDYsN+tJZCPlOUO42wt3fVo5O1VoWW4
PJug2rw/3q/nlfEwAmAUcBY2zEWXp2Vt5U+NRSQJPv0TTsU7LzG8P8wnv96LFj10x3Co75goli8G
IWpGwu0r2n0q434tGkx5dTNceRkFzfcP5zcjcRA+TiPY4JbtXdwmgUhTopxhoDG1YffRxIkQ9sem
y57fH+c3l8nwbFM3uFbMXEu+7I8dOIhg6PE6FJNzCpqh+Kz5xToDUJe20R+kyOavzUbrp6Eupgs2
qm5ULuLMfkCGbFc2gNXRQ0msML6F7VDNT1Dlyh2RqFG3aRGnbfSujT7CVNdCibo1zGgB7UgRFVTp
LapgpT3nR8fPmqO0lHaIx2Q+R2Q03dttZQEdoGTM4koiiZKZJKG5UNdj3VPGmnqXbBDKDijn0vkP
B7o4Vi56b7QyKe4DY4bACAzq53NaFLNmBSRz72eRyJegrPRrY/DvkdOkn8u5946ELtFEKaKPHakq
W5SFbJyUe3DdMkzh9a2NFmyO2T+VEasjic61qhFhj/4ZAz46ujqH/5GPFB1Sy1tFXYZtMh4xTXSD
6R21DEansmubNIUZ0Kj0TTTeebZhH+9d5TZahiwPIuxndbIJ4nE9e7Ha2BwhrIDY1Fg8zkJ/RRBc
/eGl9Zt7jYAHIo2JIfZ571/caxEEVtqwE+cl08TVYEDU5aornNUd7E4FzXj//s39a+cXxyhRx1CT
kL2Q8fHzhWix6QxjU9b7wJfIFdO6DNu4QxFsNQhc/VheJdRfHm3yNE7vj/ybx5e2tr6guJF6/CK+
wEE5aEnvVnv2utOHwR2NT8iMjUfHcLNv7w/1m4Oky8tsxIaHP5c9dJojLDqnvtpjp6E0OixpWJSD
sRGTT3dAoJ9CT6DLBtHNpHL3/uC/OU7WVRYwJgeJBM3mn8+wl8fEyNdVRboY0UEt7sIYyduiDP7b
ffdf7Ra/jgQ3iOfJQ2HkQf+5mBDZCAIHBb64N33/BXvFuDF9DMLgZ61/fJuy3EAwhTAKGQYxDD8f
UyNAjSCaL2guwmyZXaovVnYDnNuFcOJ+/acnEPI5BwYNyaCVdPnagleCDadoOSzyKfdaAyCcRgKF
XQESRvzjdzKDsbRhaeDQ1bp8fbU0iBO3LzkyzX5MLO2lnf2vsHce49H9wxpkeZZ/1h8wFPocl0Pj
9XKJKSM2MJ0qjW6s1RShRcEkqOHBe8WANLUajtQq/rQa/f2IUD2RsS0P3eXrxW48v15GbI3hSLjO
5xqppdXlcCAStwCLY/4hJvt3dyQLbyxirDoY8eKOdAT7Dhl5+V7r++NUDHvbzm8gdP5hmF8XNos9
Eo0MCcusPi6VVfjhVZry1ftBM6HOAwk5NIo34vv34a+zCKMYYLCYmQkivQwCVvCE0YYb+b5DnL5i
u7cusv67V7l3WSvpqvlYwaY/5dFeZCgvAQeMysThOdhFmS0vHrWonGWA/iXfB85EKazAsbiumhzQ
QECrbia1E19wUJAZXdvEo3pzQNalAG0vVRsfCppJ25Fl0YwH5x7wVg5JtmFxsCwL2hoADtoY9ykw
Rxc8k3D+MMf/9sL4eCroCJBJcnlh6EsmBeXNYk+JCiv6FGRHTVHseP/C/PYu+z/2zmQ7biXLsr9S
K8eFXOibQU4c3pPOnqLECRapBobe0BqAr88NvagoycUkl+Y5eYOI9whHZ7h27zn7oKsEF48T8Y+S
s7BrPiNxle9L3EFgpIa9npGE5HUfVS1vvLAYT6ltWYeQmp/dCsfLrVLWJQsR5gKm2ZE4jK7+kVP0
zxJg0ZkhTTLxtaL6Wq7pL9q9OdXNEbp8hoKghRbm8Zkanb7boJ9+HVL776toDodMlE8G+AH9fIdK
BJo7oLrI2DtG35Zr1yTubdFET+/fo7deHp+33UOSy8bg/DEe26w05oqXJ0/IssjIY1kRX/mNjmu1
bWLH/6pymR5QsbQffKreWvMQktrU1fij/9j00D/RhWUPGeGl5nVXai8zETAy/YT35Z7l+oOjvfXA
s+0xedjZWf6hFsw5R8+VbbaXkDV3het4t8pMtfX7F/Msk/yfRYGL6Jl8jixkzmfratCbYw8DPVvg
0fqnBKPHVkNxjKsQDA8Nek89ptAdcRx2w3UNRerKyT1rJ3yEXfMkoSHHqVwbddSDBvcZyvZ9+tHu
9tyj/XPlAkBoLW+m5VD//P4gN1GrY4kt+NqMNr3Crn4xugBLp+W3h8Tzn/qR7oQnBZ3M0ko+ZWpo
D1FQPQvGurMru6NUhX2giwS9ZtLkKhCcx/sX8o13jcEWJShOWnzE5x/E3OM3JCPltirnb3I2uq0u
UVRFOUPs6eX9Y73xIBo/hYbOolil6v79cpjGBDnS7yjtI+ObTsNhXTj6Szvl5R7uRLpBM9x9UGG8
8dIZBm17Khq+WH+U2EMDVqWJK04vdT6LJNZCE+4vzUwCzwgVrR/rRtVwjcph//fnahjIOelIUSCe
r5S2toBHfQis7NWualc1yHPzW2TJ2Kiy+BOZbPHf120ccGkDkDsSsJSdXV2XkUNr19Ve02McTcbA
aLK0ultFAuee+KyPjvfGN4fjUUNBmkW4+vMN/WWVLqIGbxMpP3sY4ki47YYIybqq1xayuA9O7c1D
BYCEfZgHiO7OPgjSs5OO3IVqbwRVeUPe5Ey4ZedeJL1hfLB8vfWMWrxQiw9hkTyfPaMDuphypjOw
b4v+oRcV+Qr1A1SuZgUH6NYncv6vN0csYJguTMcw0ZGfv4DGSMPdbOdyP5szQh9P3TV9s5YL3u/9
J/KNhRltsQ4Rg84zNo7lIv9yv+QMi0CP2ALmsfMElnHnz/XD+4dwLP7GWUH/2zHOV2UtzVLb5hio
eo2VjUv32Dqtc2f2brSKcixZSayrlaMauV7Ceh8r1XgoBhjY9H6T0fzrkUSVhLVgg0cGYxkGFqop
3+NYao6zbYtbM4BXV04g3CKpl7uCiHSiqf0pRAsHs5QcpP0MxOnGMRoEeykzvLs5KFBclEZLqEvR
Njt9qCPYoOjHrtNcpzqsEqCDWdJci9ETO6Npp0PuoNMaLIDIA2T+vZ8FD6RytiFXONsW9IqalUAt
tEehVKwqNctN1AsHxWCmLivbSkIFTmr7/uV969nkK+4ZPCcWc4qzZ9OtcapPLs8mWsGXeuxeQHhf
25a2tQqSoTSYO+8f763XjpqbYo/2Pcr4s+M5YiprEiXKfVeLped0pczsoLryg+L1z5YfFFTsEzT+
6BHASfj9wbTHTFjNGJR7lKS3UiYNwiH/a509Mok6MZUOe8d8jpvygy2T9fZx6dJyRdlcnxdkgSzq
QiqHnkg1zZ/FqOMSamztFrW7nm8YnLPHWXynm45IvHVOojATrpKFvDaHg4PU10mVdrD0XtsanV2G
EeowHji5w/jBGCtIXx1jYKM+ogfKvDleBx3k6WTwSKAwYMNmNv7e2alXWZfa2aqbZbxJ+T1rslO/
I/w2blLii3YS2NoWRxf/O0mzoWi7dONpnvmptpyPbsVbd9y1eMaAprNQGMsl+2WNSPTWKcpsKPd6
9zLhC1lNSt9lADU/eLLeWot+Oc55YTTIocirQJV78t90IrLdxQsvNu8/vm+VNiDefsZmYg84z6DT
a+Ila7sp9wydiIdzALzr5lOVCYS17fSB6ezNg9GvZM8S4G4730S4DYtRiYUWEQ4pJKRB7QZbbpGB
Iajskg8u31sLgUvbn68Flr0/it98mqDKIaWArt/cmq3nhkY0PVV58x0szi3e0A+u5DnFZClk2T2w
5V/apKZ3PqeZW5lzfanT0jEXWD1M4+jPjTqY9OLXlUXevS3rLhxlYN0leiT2JPW1u7hKypMf+9kW
vsr06OELQKMdEZv5wfV467HlPlu0kejfBucLoxqjVssEZY6q5Xf48EQyDfcY6D+67m8ex4OFS0Xp
Lr6Z31+PdtAmQBxusWcnKunmdC/lpKl11TcffEjfKltpTuFe05d/eGfvoaUCZNwIsPYdwnF4Cxtf
lbdN5RxT37jOq/qhyIMPGhVvPcC/HPK8YE1nm4wsRy/2mhp3cV99D+wchat7bKrhgz3HTzrReZnA
jpQhGeUje+GzfVGnfFvOo1ewzJjTM/FMP1QSuOGQG4B7iQYMNbBVYcGKvEnqRXCsGYs8i4SxNhja
J5umylME5XTfm8iWsbZgNhBdcw8ds1r7ZZ6HRdT629FT/iffYdVckSyDakJrx/VMNsl+rswfujLR
tFf+epT6c1r1V3gS5aaj5Ev8QQGyhYzYF5N5L1Fe8rEHnP7++vTWWxwsTl1aHDy35wPYPJdtWyJS
3s9yPsww9Fa4258c6VzQM33qkkl9cMC3bvFiz8Ax6NFsPb/sMjXiqaYY2id1ANBU9o3czux+11Yc
gVFoF2HqX58i3/XFbRxgxPljdxm4k190ppXvM8LIwZtO7qkUVGhTWrVPRHTNe3RIr+8f88/sUd9G
e0Mm8U/g0h/9wlgjKBfcc7GHhxOEQvXuvS2MISytybkQVQ6a2yz8NQGMi+GDaYe/4LqLfu42JFUE
O00pJLMf/Kg/x302qgS6Psuq7f2x9yVLcpbRwBvdzhF6Niu2t6jSrC3wgXYXEHaw4klBPuXkmyBu
RDgxk0F+bRvr93+I9cYatvjCkWMYbHPs8/a+jjSC0KYEvGKZWoxGFnFzYuXzLQJLIPLcLu/QpUgS
8Vm0S6aWtjG0gjnqQk+7UZbStxOcm8/CpvA2u1n/TFlc7oTikcI2kRF8EDg7dLnfJxSZLNnDxnZT
AcJfs9dEsnZ74dbehuRhb+3HFyb5mvcZ2PxrXlucKIB/5yfhw3HLde+LDgn1g435W+fPBAwPurdM
6M8bR7Tb0hzWD+efZ+O9wJ+7H90xeUoMTWzfv9ZvHQr1JVoD3Oh8NpYq6JdqiqFTXRfLZymoLLGW
tb9YekaZHQORx0/vH+vnfTtbU9kW0MJh98pn8Hz7TxBF3qsiYXNAjpO/6hgY4/gg72oXyWpYl15u
XBiVHt10o6muTFOLb82FVE60miReTG8OP3/Q/+IbPsI32D/TkP+NEvgj7/3w7UVUv+Eb/vkv/k3B
BNIA7Y4qHLAgZQYryb/wDSyj/7lskyjB6CAvwqP/R28gI15n5El32cfsjk36/9MbjP8MAhrOpAMz
PWHdt/6G3vCP1OOXx4zli1kWPwvLDMPIP/pamRHVPZHM7hVWNcQUUTnWF6U3wQIGHjk5ZJJD8+F9
Po564Ob3cyKd4BX3/HdRzc697WWWExqV9cB0YXzKPC25cGDNdHjqfD5BsnT9YpEW8B0nTm3q7rR8
SVoXMWKrR73EbrQCFpVbxQWGonYHyj5NrzxTBGQH1Lm/TVpRHoposkIv7euwmIx4TQCZvaaT5Wwh
P5nmJg36W7RF7OBTXWEJgpt+2fawtiZ3qI9m0KhvYJue7aIDcR60+pdcVd5Ol4l8bopMD22nQIZh
tS+4fw3O1xfYUzyzERfzJMa9Lit7y43SrspUi8a15w1bofuYUMImMOOhoePbozJcNOFINs1EpaSg
CfMJ/uWl3aNYNRIyBVt62ndTu0QD9Igfh05/yp0keBydcboey3HBBwVP4+i7mwGjXWQNxa2davXe
7hvzqikKDFykctDqTJLLYqgUowWRnAItfwm62oGajfDVkW52URdZsMsrbXhtMy86TGQwbZlV5N8L
OGebmZLzOzmw4On8lkgtTMXf+95sNoFKxs+0DlS5IqOX1D8AaWFd5P6zafbZxvFSHIJ+9VQkxVOt
ceiylmD6hBq+RJ3mbDBwVhs7S8AvSq+AKKYIJF7lmMeNlZUExb03j7a7inQhD8sT+VgPrbv1DcBa
JA7n2d4zeyp84Xkdv37w1qUGiJrmjuVOa5mPql+5mRHf2ZmR3ZAvPF9HSuihoLt3KSwT2Fmijw5H
IVY7AH2ws9Mc/QNwweReuW1+6RRyuhRQxE/wEVLk25G6gdvXbMu2Hb92y35ohSegI59bkz8CZlU9
ChsW3MJL1SWs8mRPLl172UWYPAhXVvE3YeZaiIPd2QuDjBo8INJDEwyRGCiipwO+mnQaxcFMNF1p
6mVYu8jUY7/tP1nj1CtcLJNJcmRW4+bQvWRtxgJxtzCdEGspsbNVYQYXQ1GQa9FJGnEhaHMMLaSB
wkVT5MC4dOTmqX2MAUQXBOKa4gcxxxVC+TzYe0gXLhtH++bOjr6yhCDHENm2ixRZA66JAbkILWlJ
coL14IlklmyFkPwCI1dyA29PkNTh6K94KEi/JMTia1ZHM5alYhChOwjMRA00bPIk1Gc2hNaNlkXe
msF5tO0h1sZhmanpokKC2oU+gUtHH2afXMPAEoQkmvON5wB/mmtYba470g4ZLfPQmllzl+sOJUeu
+k+OwISSAOGecE9nGmkRcXKhSYtYZKxtBeBbTgnGpq+vTCihYeEpwgKbYdoY85Duxi6aNony58dh
RIE9qNrYCgeDhQgwMTWdHZ2EXzY3rluvjchvHhJgZneB1e+b0pqvFejssBq9o9PzWmN0N8dDEhVQ
7pVb3aQFGw5DGRjNgQlO9xmbyFPRDuaDaYLRSnSjXmtLyGuv2Fr7Ew7tQ0kZcz+mtRkikw4ttion
AOxkSVTqlhjT5nJKyV9k8dSv2p7bTd4Nw/EisVgU6mCNY0c/zLXxDdqleyXpax9MYzAPRdu7q8TA
mID8HQ8EN3nXmNAfo0SiHpATHEXT6u5JG5i+Y9mR4ax5E2U7ZHlvqhcYFMp8+IGmCI3EyXaMkeQ6
IZ94pZtzd5GIfnzEvGBva4k23/UH96SPaPOZF6hDEAu1jrLA/2JVOr0CqfJQg8K4aWzQQASHOO4X
PoLzHt6K9t1Ia201KkGQtWv3P9JIq6DCJdUd/m0jlLRfoYnrL/FcxJvaIPPVhCq284dWa0IZ1eIL
ffXusinyu0WzcxSkcYZW08gLM4+7mxmN+VZhw7rRjSS4bsWiBen6aN7YuKd2hY1607RGfw3cYVj3
nrC/0xEdNsobv/bk7IUZa2a+ijJF3LTraJdCAzWDcF89yRHPq23I+c71VUBOT+V+6X3Bu2G52BIc
Pz8YSTayI+o1FqxYrZST2M9ZThCs79XJlYGybzfrlfGiitgmcGgmcpcl3VSTuXcGZJkrXYuc+yQx
xrXUZ/8AFuJu1o0D1YOOkJ48wk2mE8i8KjEXrDHT3yriDp+0EcNc2hftanJLcUNBDCEJX6D6pMdu
fQys2jvGNJd9VtAo2LNuamHb6ZctsM27ee5v+jjpVqRL5hc9FwzwRN8/pJNZHBF4ESHtJrsyMMpL
d47FIfC1u4wYpXBUTeWvLGvRZpexT8St229jH8hka/X4RP3oMiVHYVe5bX9YMoLwgerJGm2efeCF
Etu+QD4Wd/2Srp3XeOei4jLGCMunKFIvItHlTgPDdjEPrffV8PL8tWmlduW0zW1rFc797NuP+mS3
VygbaxIALO/QdNrMZsVDWup4w2OLK+vouMVLOmOgFakXk7KaVLth2Yf0M/vK1ajF7RErcU/CWWzf
wWCububaydY4QJ0B7umtEUvzi6ZK+Cd8lbHVGNHwZOD33efz4FwWMkkx7eHJt9I6hLxMDIf9adSU
jc27yDcJOakrD7//Q+DHEm+iX19Lv8PFiw1pq9fRd5+0rJAoI7HzW7QuADnzfVvl86WwMQNJaNif
B7TBK68lwVjOeb22Scb94dT5Aw7jMjSz1LvPIn5CZ2RdyO+bVm5qnQZW1Y0UxnPUws8vKltcp7LC
M61NJ/ZIl1Nk2I85ptdjDdtkYzMYwWUtgm0yZtFz00/jDnhx8wyunyyHgATJaqBV7ikmIbnbPiuD
dSXQC2Mbk9mQLaSRvBcvWu8Q3zVZ4AT9FCtWMBEXHecXY3eB2d3GNVYRw2vnVRwKX69CgevsMdXc
8p6iKrsoa59PvWOQDJCoDJpYVXUGW+pYXuXssgt0nDt/1JuTsjB4lqOjgSawi60uzBhRdsmyY6b9
PiY+AQa5St2b2pHjQdg5+UM+s7gpTZ0QTsVzayxZt17jyJ1SxnwtiUMLM6cxjtXclFvHV+NL70d+
voLPSpGCExXfG+TBkvF9ba8deAlfy0zIZ3cil4cy96WIg2jND/kB2KLepvjSkQeUGnCDVvfDIs20
fYyYnCjxOitS7AxZeQJsRTBZZrsbNRQ4aTU7/hZ1UEKIfSNVs3CbboWQihyzLL2m7g27ZBlykc67
1dkLbmYVQWpkHWDIRrUp6BjtI0vTf7CHdVYdIrVV35HvBWgg3hgJPmZKD6DCeXbreHNm0UafyEBB
3EAGHjQWnVv9DDY3RhUURRuv7CWNg6nNyJaDYUN4V7uuCUm3CYaOvM+10Jtga/Qe8K9Zv/UkHySG
cXF6ZajO+DpKL7+ex5EFYTBzYtAycxuVMz7te3+M+jRaR4Mvqq9JXwxYbosyxwDljSLL7GPk+El2
0Y1+UD2oaeCqQY0fNZzaQUmlvEobF1gIGXqQKQkJX/CYgBOAL4IYX2tdhJ0SUtf4XbpSfFMI0sBQ
tM5n/pvqGc57tF2c1gcQMzjmjMEf13rrJ8ceyOSplvzbVetWXyzePJgAzZYjaqcsIMmjJytll3iO
rFaxHMtvTaQD4UlG/+CaxswbDIrvyuvdh1kAjq8bx/1m0x2MVrM3y4vICdSGSKzmrikwkadu0RCz
JotbXQmxdsl4I42INtfezjt/WQ2mNVWfucZmDZ5DtcUqxgMMkyy3N17umBd62drHRieDN0FTuPFz
Ma4ddyqsladxPD2T1eOYDPYTACBnXLWJJKmJdFjw6noOsJQrd6ewJYRJ3k1flBNdx6nPZYUMMt6T
JhevhzROorDrZ/00SQxtaQcxAjX+SBYCTqV+FcXSv/b5CqPvIuTrgBmNGrklLPo4Fmn6EPs5CQqU
nuyZ2uFqKuf4vnDmdusvFzsqRLrTGKfFK8csxJUWDQzoqxJDtdtLyJRpW99HUaF3sAX4V3t864es
bco7EBsNfjyj/tSIxvhsSL/+XFYxvBxPv7RNCD0oT3XcsKaUYLID3Mr9AFQhKOT9IMa2XEeRLL1T
Pwr7ltTtF29ukOnTzY5x2QsdvrPS+ewnsHrUQhFyr7N8yp9SnTw3P1XRboHJ4VbscWyyFeoesX2q
b4NmWKGE4nbRFrFc84vKLXp3XsKxKRE7uJ1DuFXdUOvAGCKnXDjqdabqo+LXaNNhq5xuam9Bc5ZB
ntw1cUAlVs9E6g1pb27g4hgbE2XkgUjJ5CAwR146YkgOOBm9q9xh5+CNLg+Trr3mfjU/ihiTPaZq
l5MjHa3a6E42PWUsFSZPvtLDOfUI754q4rZ6Ge06c8jvwLTTS555rprZxpmMi/MYmRmZVFS+IRQY
8ojTyMBZYCwZeOVSyBpOc+kshICk1J1lBSO4c6oV7tQ2SYv6c8WwoLjGtNhamxxRhHWqDb4CK6Kk
SIBHtEvuE35ad/4G5VFXNzjW070ryKRLABtOT105yvFhVlrK91Xr2PB2N73eWp656bH/eoiqGD6r
Cy5J4/tbzPOC7MXWqAgs+7+FPbTCJlfvCpL8LtI8pCB5MX7QJDfOpj3w5lAIO8zzqMro7pyr1mU9
qhSAoLqKtdZZYwQVKwNbNHGOAOsh58fPZmHthtQ8Wpmz1exm6whj43uABvp501bdhlPdYeRfZ9Aa
3u8rnvUw//ltKNcMGwcftqmzHmZhDHWpR3QMpWyuPEmtGO2TjwZCbx2EaN0lqGVRYZ5fACftRja9
g7pKTB24LltgLd+WXvVPP/Z/W5IftSQZvqDU+Z9bkpdVT6zqS4me73vZJWTbf/uv/6CXvPxX/2pL
+v5/LhM7OGforzyUeOa/25KBTcOSW8fzywzW/Kk+/ldj0oIdy0icVp+P+I7gF2Zg/8LKmvxButTs
X5E9IZD/u3Aea3kOf+lLokQjkoeeqeOh5PX+cBICi1A9MXfNwSkjIpRJKzDudAGOBoi33FZ16lMU
SU9/bTUvegAHT4lVlNFRa5Lo2C4hlV7uAT7S3XKX/RxtDAZDD9/PtAdfFgTKCOkkm0rvgtAQKUmb
pdZ/T0lEvxxFTFaqWXebn8ClWBTRqdJtPqqkgA6E10ISMWK9UbuuWMC3deHe94TDfDBVdf+4Ajac
kGU+v5iYkJv+Pm1IJ5+QnEHKw9gY440bgUCKpz5gRtMt58Xv/uURufnn2v4f3NQ3TOm79r/+4+yl
5YozuFySkNAF+ChollXtl+mGCQ9jjLNMHpTWgNqJc0gDillSBHTq/SOdDUqXI6FaJuSJHm0A1PXs
zOaeqq3FnnFQEa4+M02p5ybKeNqbyT1For2bSGq4e/+gb5weemkAwoA5F1n48v//cnpo0FtVlG1+
6F04SZgdmnTRj3jOuh8Xn9TfHw0lMyIK7JXuH76UOPBVUhYpHQFdOdmpbIoZcGNjqOs+Dx7eP9a5
83e5ntSuy7CfKdgyBvz91EY2V4JGdnKoxZhboSWiNl8zqmJ2zkh2JehiX/dNb1yqNhv27Ho7SYAS
iIf3f8efV5jPHhJLG9sC//TObmtutN5U9FZ6qLGHifXYTjA+4ih6CFxZ6R8c7M9nyNFRxyLQwf+G
/PFMctCQDWJ1jZsepDHPt5XftOtO4w2WQmaC3dbCaPJKyD8fHPetk0SaghCYmYnnnhvvsjhVSewi
7C/BL0Cn524qq0e1UCb0Mf7qgoL15u/jMmIUxCqIyvP3+2onmjIGESSHxKhjUCCTR2WqN9OCyrce
3z/W2Xr781goVrmUFC02dpDfj5UWnas1Gs8QiERlrKvIK455Yg0fzavPRXrLOTkocQOXRYbH1fz9
OFhw28atxoSGEOnsayolTsqeStD0g+XciyQp8AY3HX2nmd0EMbtFLP4h0f+PrsKzZ2c5VxDrLHQG
fgMmaWfPzjAZWVKTHnyIhoW4QUmElXaGlB+RTXIk84s8MteaPljPf17CXz5py2HxpXLi2OP5hp7r
14bYHao58ijXcd4/Nez7jmjqpiuZlmLXWJIM4k6DWvZTyeqFcM+n4aDccvxG2V430KKC4kgidrQn
0YDWHJ3oY4Sr9gOJ/Vu/0+HGgEKgOsCgdXZ5MseK1Oxp2h5/mvs6Tb3dMHbIA25RDqJ2X4J29FZT
qnkeCTAqO7Gxp+C3SOc59FllXwRdEGG89a2rQHNbb8usoEoBHwXesPvbp3ZRoVhM25BA4GA6+6kk
RHQVWUjsewKwdGEW+2NGsnHbbd4/ztlbz62jkuWWIRFbFFzn38ZEM7koWpscKlVB1ktm6ItlVjkX
eWs79+8f63w5/3kwD/8wX0cnQIp/dlKTj8TaxsVxYNSDuc2PhrUOYhdvnpdtI1PGIRLS6cLoRw8+
chnvYOx1H1xYTLbLm/j74+ojLcd5i6edsMVz4nreSM3kzYj2HvOL6eDlJotpF4yWPMS9nG81y9Vf
HQHLMaF306wmKVB6JUnW0GYudOeCNNvoGPT9dAObCf5dC0KnCWuGpLTgs2I+5WJh4bH/vZtzK/ox
QK/9hDh8Ps05WzgAUI1779UjoNACuOjQ6Cy4baHMO6Jz3XtXwKTtDOBSgky7fs1Ad3FKwtObiCHq
VwT1DNdFg/I1J4vjddYo41q8tvMqGMvoR+FrjjyWaIaJMh1khG/fsNtt6gnEQpa3iM01UHr6qqxN
+0UEkfGV4sp6VJYFl2+MhoIeOpiSH/nQ2cRrML0S7MtTcYot3mzbYWkxmiF5BdUbQ3yMnR8xTlWT
aQ5lY1hGOuNVZHJxT+fStXfK1imGyD9uv/keW/wyrb0vfq0a/w4JHc8bb3+cbbMq4PBs3rRbH6Uo
0bBt732Z2d2vR0RZJ2DDtAccqCzxhLdkUyeqVStvwVuiWplOfGfyT3U9gWBdLi/sw25jlkK/lRZU
IxqfXi4OkRG71tHUC3HK4qCgmT6LVG68n6tVb0wXTTcvhm9j1J7LKuOJrPTR0ENSJwk3SCTXbqJ1
14aNrosHesj2U9/ojErNWC9vrAzYLXIt/g5heeLkdpKA59oDJqmjIYZt0Ewx21+Q2Cvb4aOQxpb1
6JdDgyUUteaxsMzklQwVc2s0lf2SOjWpW7w0ebOKkmK+dZQ2dmGXNeMN1oDxOpnsQUDLNZLnHPPu
YUQO8Anzko1JeXkOC1VFR79PFX0cgX1wPY8GBYxRVPOWdGyeJY9Ao1OsJiQNEVuvafWTylo4GvnG
c0Gd04tWEqvMCYD8A2MJn4wHbKO3Qr4IcDn7avR5eh3CYW6aSIzwMBipXblOpT24IuOC/URGxloO
v8lHMzZrGb0ie7wmd7vedtgv9rFirguT2QknrWpu404kB91vygvFlDpMmO6vAUfpJ8OCtNrXugui
x4ke4s7bVHafvdRumZ0mjhZGkeNdF7O3y2Do0vSNxp2epNYX3+e1YwK306upW2kZIc+6Ns7AiU0z
NFxyxcmEKkI02LQNuarmpyAZrpOYoKHUCLbw0awtWruKiZMlV0IDOpcVKiAgmtPKM78Jaevm62lY
dBKtHQHUtL80Xmud4iK5bkbanYz8x/Uw+XbIB4f8qzp5dCMQGdBEzQvUdKHeZ04ou1LtsoCQ92w2
IP/NursOJDrkJBB3rZheA2m+yB5Cc6oVJFW7drkyZwalmu5/Bm5G5vFgyTycRjTxUS/N58Kyj2QJ
GavBTK6EC8uLhvzDMEQXFXlanztpzhsBKe4o8oIF2F5qpMKcrtzEsk7d3Na3RpK3R21gcjTP7iUw
u8mXK7tIvTZgXlebcfsdjLrcQwRGWFBGQ1SvpthKj0Zlw34lHNC77J2cH1TlKIlWw2TOj85sW9tR
5YynugEpQGcY9TWFkk1mD/6Rdebp+WMjp/ixN3V1P5HlV9K2RrqxIvd6OuFTsDYLgGVrZ8hf0iJp
SCV3GYfgIuOgVNHg9PQ731HqzlPTtLHmvt8s3x8HHrRk0p+AnL1pCa9EgsPI6WBr2FJXZgbbvJmo
RRbof5mVLnR7FAwsRaVa0W3ki+DFgbeXKVufnucPh/ZUboNZt3c9+eYyhLleXENC/eTlM+N3RRvK
hk2QhnEOg3TduZmdbmFgFwz8sfqUKZFaej8C3vP6+KlLY3Vh9eO6SyJ1TBnVdyuTueyzlY502p3S
bJNwYJ08lEEjjlZN3U73HJHxPBQ8mEDmOrYIuXabT423KaaGxjGaIr3ohi+9Xfo/OpwsDNJKg4F+
4XhPoFoDYs0cMveQbozw0nvqMQRTeznPwdWo1e5tw+g1BDIqQ62rPWY9KtgHowGdXxp9812avr+R
Kp2OdWedPPjHpyBqGJfbgXFpOyghGAV6O7IIgts8qoFaRlZksflPhU2bojEeNCLWQ4NE1CM3Nbgf
nX5e8xGGcotcxv46znp763UaXYO6bNd+RXPZd3kE3LSU5BnGzk55NONcv2Pm7Sf2Yza11Q1GebDs
kZEeIrQJJ65gsraABNZDZOwGx+HBDsqTS/sgjIrAvInr3Nk7tWddBjEZ5w3E1vvIqY114atql+uz
3OZz67/0HafEQkMUZqsSC3Z01TBQZq6zE0Np5itQVcyW8BAQVTdaV73uV9f6zNQJ82DlrmQLz2Qz
ZZAAVkk65Ls8K70vTubSxKnq+GLUHL+ihW/nhwnG9veO7fhlZ6n+trM1BkSWRF9ONlnJN90OVANT
Z3Cu2LHLXVZ4HhsAozrmBpzxbujAB6dFfiNdp7v223HcW3UrgjAJ/H0xzs2B7C9tBWnFv6jqMTql
fenv7HgoXpfkdgbzMqifyG2pt66bZj8Cp2BkIj1ZHXAZ0UtCjfTJa+VzwZ/eNHVl54QxzIzE2mge
XnRJrh6LQIsITzKd5uOqdyHsZ5ro6dxfMNNNQoJxN9zxZJMV5lelBUg0aNZD1g2sdlNC+zt5QV+9
ethfkelg0vaB793UEEd3kzNFa9vPuhsUvO0r2dGs2TUKXbQOAUHSXTjAF82cR1Dm4JK/MqclLAGE
7ih+CG2qGTq2ueDF7kq2SZ32o3YFcFxHmleJcvpHAgaGV7tJ/C9xH5DVV5Yo09YjIgaHz94EeLoI
6Yjgp3Ht6QimMIg3hTs8TZ2RXJGugVTGxy+wSmuoQMx9jZAqKr6azMnDP1XT1TDr6OBU+Wjxq7px
b5epfrJVkq+JA+WbUZnTVIR532O0ZHGCxorQZNwbkeqORlPIft3hzGc5mxg9QcYHrT86Zn9wgpHP
iEF3iOcyD1h92ll7SPJAhxtMK17yUdhZ+mLenhOQveyN2GGIHHlawVUgafcZ+iqPMh0l/SQ8aSJ9
M5txj4c5+kQwh/WimVL7Ybq9uoz8KX5wyMREM8mfHe0xeDRKOMhm7zTPkbQTysn/Zu/MduNGsjD9
RCxwCW7AYIDJPVMpyZK1+oaQJYv7ElyCZDz9fJSrqsvl7jb6vu4s25nKJBkR5/znXzCeJ5runsIY
qVrkmQiM5a3nPMQxtpuzZnuF3c9DVT6YbmVCMjBufYWTfEaEwBr61U5og5FN1WP+mJslsXJLfraf
MIWo2pj8w0Ud6Yh6HU7p17ywk2qN/MzDMaWvOSqXsS/ps4M3fiMiPdzTy4u1bO1wl8OEX+eld7K7
EtYnrkMYVw5YmcL1wmHE2PgRj7NJmszF7JZM6awX3fDGST0Ee8TZ+aosiS0VfTp9lh5UI3sI4sus
Uu9Ggxev1LAGPaXsUwqwu+1As05pi1g0NIEHyF2ZWc/tsG+Sxea/t8IVPT6nDoUQ9uG12HZEypKd
2Hdns5+yc25N+xxaBT6oybRGHupt+nG6Hj2TRBkxeQe3ZdpuliqgNWmYe5F+gf1f9GmyOnPVFxnm
yH33rW8NshUWBZjlpfWqlOGXdjbKXYvrwEXfgB3o2DwSEXiD991L6gkScpKZOgWDz7I7lYZ8Hkt9
PeTRqa+9+6aNLtlyAYyKtCfuRr9nMn4g++zWt6t9QzW9rjI4nWY67nUOSOn3EG5dwgR1S7ZqaFju
fb0QOYmT/UrCJYUV6WibILGPBUyBTWibWL02F1Pi470be6+lglNil6DaK9egI4jHYXjUjn6dmBd6
TBN30i/ScT2Hc/xoYrjEfLINcGRvG7Wa8SEmmdXZW3qrJD7FakKl0ydnF/puoIY7GUgyF7v0s0+u
0cEfw3zdSjU8GXYbbCcGogdFD3MehtYgnjRblvlsnlwn9Z9Ibqj2aSk9yFjJ2B5TZPXXw5gt7YQf
JtO+Hi1K6LTF+1xbnj73yjXaXVJOty6y0zfTI639RFg7gA4e1B3JMbayR+eiD8rFaESSWfSpsNvl
/WyZZy8zoPMIcGFF/TFGGBHu/DFvSFwAq4EqYGYwRKA9QN7MqYcOvoM37FU/9PAyO6POJK66gKZe
N9JyfuQfDHb0HMQ5wRZkHfB0IyNbMj0CGhG8ppZ4z6CmLYp57HFdZXsBZ1pmGnM9RM8fTnWRIekx
FteaLNXTleSMewhkNF8aUOLWdspItZ+lZ15lhpuqLcY5+gbLWrYlnJKdNaxeuhP4xepbpu3xOvNm
62xahGVYcZufEqIhnuPSAOSOIa3fWp3b48rQ0olghG9+hbznuZd9opaWN+yxlE/cpnvEJ5LSoTCw
Em0sgiOo7XlrCDrGNqlp0DfuHBMsYpH5YI5e/8UrSnuTtpR/K5E0n9xWr3NLVQS+opRd0oKOdo4s
J+0c7PETF1Cgo8mHpQVGsExqPn6faoSxnWuvPUYeyS30CWqP+UT59PFf4Hrat6ZH21/7SHqwFtIH
28mJGCl7erCpJUKA8ddIcghlz/ekk0BX3ucw52JCaiKeLunl7gMohkzMGGVCKjbk4MZFmTaMKVOc
zY2Qj1gmI6kfmpQLr3S7xzrt+QJpxq1lH9E3HcDLJ0wnrKdyIAOH2hetRYQY/9i61fQpn6h3NdQB
fNYHPI2aeUZIafK9RAkW3ri0fVIlTb1250zuKdXo7Yeh8EkRzaMR33ENKgJ4yWYAqQC+dBtC/VAu
BpqRWZY8/6Y2zmEdNxi/GCk5uwRmBYG+CNu2Y5qPQTiQjIx6EkliTTZMPo7iXMjevHKhjV7UGSkF
eOkDXkVYJn08d0ZKhAtWPOR3aLRTRYt+KOk7jzYJug2fL2mid4NkGEAR2qybYliuSUHciG/xI/dq
uqp9xWUDpPzgSF5+hLvUCxTXDZW+9OdovP4Qp9V1qnee4Anohcl7h2p5wyWRJLbRHIWJCmBP1uD5
foOYr/LNp9LkJXkl2iPR0vxr3XO1LDJv5rXlEPijeKPtTOaTCzHJQMsE25TheQ8PHueYJaiC8tqC
G8aKXBp+qC/Ru7YEoFLG0+Ro3jSbjPoFKLFyNhzn6r4nbfD8kZaikqh+iRJz+jSTstBAC2EJC2dg
Njn20SlqrPolx/z3GMqJkIq5U4WJLWNBYhTNAd+wQt22UGTinAp4cVgk2NY+07e0j324XN4SGs5p
qLlMqqvtW4ypMyotPrjdkbVR6rJ5kQFp9BzlnTpB0omOCC15IIfA6F70TNqYCSLXS14XtlCm2Hy/
Dm6n1okFsbPpm9cKXdOaDJ5g36mWBDgsUvZ9H7HYJ1ZgNMzh9xSVvlX9Nq69+dIBAietC2OGlgBb
kuY9bZG/ZlvXleNF+FA7fPKezsfdVGyHexOfpG7FWDTYuMtTMDZAc27jAikgmYRYG/T0hCOOXSfP
1+bX2CQhiFGkUa+ZxbKm69aNNjXd6W4w2R9DwZUiYNi40zQE735E/u4q7JdnsCVSeQ39KjqlMWlK
1AH4Oxv+EGygZND2Bfi4fws8+mRYYdb09OFNP6mAKVRHQd4CpaLNTygrOBmbTJ6tTlVXydgPd8Tl
BW+NEtF7Wk/hSblJMaMC4GQSKbp9FDGws0jubY8qxKY088hRWXWt00Ybvwbg3hRkVszf4ed/iA6/
IjrAI/gLeP6T9Or/FS9fX8ofWQ4fL/mD5CDgJDCCxU4XHBivGaZav2uv4D+wgAgUxZXMsxbl/Z/q
K8dFfcU8FeTdwUmJYeafJAfH/M228cFilOPhv/0/khz+zcyNCpVPgZgLq9K/W8VkFgyxzhHGgU1A
ZDS4PMVDKLpfzId/Hl4wavsIMl0mJUxMfxy5aatrZ6WVgVRVWHd5Xc4bh0b7uhyVUf5iZLmMCX8c
GnhYJKFZXEgLHujsj7+Le5Eh6XaiBeUKrzn11CVWbc5JaLbPxivR+vzlhv8b1gJ8qp9+JU5XmEJA
acJ9nQH/j79yyjuAB/JPDnBGiCSIZN2f63aAkVYbZe0iERnDBwJsHXtnYvHpEKFBMs3eq0fqbeli
6ewqBbmP5IB03+DyhLxzYmubw9b8WsF/PssQ7oWM4nA/6jbFA20GxY+m6jS3VnlT5AVyK6Pt763e
q06hQoVtkK99Fc19eiXiDAcQJ2bER4pieUzjbt7KvitvbEPob7hK6YckF0ADTXxpDnOKEqGo1kNT
UEBQ4Vwy+/aCdYK298buhvKdyr2+1s6Y3dtgtivIXAUoKT0czF4sG+tqPJh1VBMtLG1UE+RNtKD9
Wwuh6qrone7Ct/r6qm2CkRYnd17MIobI7uGapREFHSRi63hFX4qqOTDs+rULyhLifzlhIKbpqk05
Ai4STbszO7t9TnMjHIGqE2BcufJnsOjuGQt7d+6YyzTZzq98MKAx4jlfm0kNAdN0yurr0PrNc0YN
/JiFuX0bxmZIIoPZhW9Z0MEitUIETSsQ1pqSA0ezXYsn5hKc5iRf86RYyKpYqF6bhQoIvRQx8efD
OFxgiTsyQ9LFGj58u7Htgmcv02BUIs3c69ShGJhSUKwpm2/BQL1tZ5ntc+nXalcTlwYf1UPTNNVe
+daWZbJPquR1brGWiyHIXsDrADq0NMly246Lk1RRcSmLUj/iF2ncOFWqz8BXi4PlZOVHD8N1Y5On
WWQyTDI+Cy91j5EwxYG0jG7rzGl+NrN4eIs7r/+aW3NWbHWsvWpr9Gl44hJ0G2LUXmVfYKU0tldI
cNRq8os30+FYBSC9iIyenMs8vg87akHJIbk3GhpZxl0T8ymCWWos9snRTL2V3/QXmdEK2D09yRCe
GWQvDD6hJRv+Fwcpyibh4N9OvidvI4I5z17SfeL8Hi14U77g0Wb1AJqoS9jq6C4t9W1CvbRzW6O/
zO1Kf+2Xkow7635tSBW6TsPK3uS6728ZtzPz6oNbKUNsGFz9BFziXNk6sbf2rLsrw9d6O4be+Bnk
aFjHVqh2M+qkaiwfie2t7UOK5bESK0Ijkvm18tKc2lgNQ73xSLHJihVwu72kc2Vqk8dl7m4pusDR
5kLSOgYjxnFHQJ0YkCiJpWmCtRmxfsi7URA3NNlDN8ZcCAzPGLt32Z1oM7yiC1AkJjfjnT/3yTaE
4hLT/SwaGSPK0Re4jFmWogRhz6i05z9NsPeDnT/ntnsEDO3MDaO3Odh1WZdKsaLt9HZxPur4VuUu
/9NpUhVfebKlBavLtho/xZ4RB86qAd5PLsLIUFAhumh0n+0mWUhLJsF2yXbEYcl+yIbRIFIEhb7/
BmeeG5X0SW+cMBePh/Zzjpc4yd9W2OXPTDvzz6Eq031rVmzDdem7B2VS7fvRDKYcOTaykXFg8OdO
ikpp1GrRYRi0RW7vOKfRRmRjEZJ+sEuDVg9wPJ03WDJYd3ZSx7Cp5PLXaImjz5AGxlfPrhCuEwnZ
MHxwnCPYHb8XaH3e5EOBoW1nVqcUfvm2x6wBnFhGYJkGCPKFFKKTa1/5NOReV2+KNq0Qt4Y90JvJ
vAHflpI7EIVfppY/yd6oPuvOjIjIhMbXbHAAL28mRzTfhCeCMx8kjXdEP9UXDcolvRk8KFPbdh7r
YwDL/RolrveCsyyfzymUtYs6v7wxxtyHUxCUfDbDa/g31+jLdztoiwcHhOlTkWee3gS6rD/HZZIy
nIYrabF55N7Auv09Av2fKvAXVeB3U4f/zHZd10Xdvrz9oMH//po/JPimvUjwMXKCefTBaP2zDLRM
pPauh16K6gFjB/9fZaBAt0+BiNYeshelo03h8TvX1fEQ4Vv2koLiupSQZvi/iPDFQuj4S9EEoWSx
BoJvg8+qKyDR/ljBMGZvzMjQxkXQRzJDSxOGwTw8tSoUVXvKzNLHnAx5ZYD0gT6TQ+TshEU5kvgV
Yg0DEbaeRROfRBgFuXNZGeSiezPs+GTpsVbAUUjrhxxWdrRfIpERkLvxqCSnBH8bDYdIan7XPYws
Qp3Jph1I1U7OliKWiCDmMfCNVRIY49pQXoCiY7GtHta5MxYpmYkER5rPdtUSMIzCiFnkZ8KzqBG3
gYhH/yZIwJ/D6zTtt2MfCrSVJVBxuXaHyqnI2W41ch6AvChfx26NX/73AvGfVfOLVWNjvUrj8p+X
zeUL2PlL9fZXjvjvL/p93fg0QrhiocU3BW0VVLA/140f/gY1zHXw5DcXf2rWxh8U8fA3nx4jYCqw
WM7R1/xr2fi/LRxVC7q5L3yoRf+Td8VPrQYmAfB4YZyb6Bi8v7MjK5M0+TLJ9cGPLVdTC4jqTA7B
fF9aE/meseuu/3J5/k2r8VO7RlcIEQqmFJ+cGeHflikzV45W7c2HacraGxN3AnTr468EGj8RJPlK
C98bZza8Qn4yderdDs6Ki+/EjDRoP9qTvMnrFh62L5qtaYxUJB3WrEJmxm2Havn+v39JCNg/7kbc
Vux12dvwnbH54SeG5jADNc1+f6gLr5ggHyR6V/jgmUq4wXmyk/Y0ETHX7Qnxg0LQMKFeJsApDl8d
GNBnhujouGpGXZg9LqdibJGnGegx36Fc5v8SXVriO1AYmlq2IdkayLwDYCIvbn7HETO/dbIAFgUi
7kMiXNApClLG3a58Igp73i/Uq3TVxNaMU6fEk2cF71IfTDlZd3R5zVXL+PCOedH0qXeG6IT5Q/NC
F0PZ39Vqfk86vpGqCvVQDNW877KpOkeWQTZMlAbWeqzt6pxEJrbN6dw8w/TnheOUhucOrGwLLzi6
DZVf9hvVNWZ95FJVJQUrJMV1BL/W2WMKwtc0/c7ekk1q3831DDI11cm1S6wgdqIh4UggaYRD+ml7
UxcKsZ3ySRjMep9hlEeijXamFAPNctxAim9P+WDLG7Du6KQHf9p7COOPknicreX06oEjQj3ITHuf
uTv2lkoI/pgNWWbwJvk619D4Yx/HrBQ/ivukj+rnwcTJBYuPyjx4Y8gaGgEFnb4Kz55lpAcpk/l9
JNz13mx5yWy23aNHuuA5mmJxJHDWuhsY8D9m/Vidp7oOz2WJM9gmzCRAhiiJnlx5qAVRyxbNtmsi
+pdK2VvoCPlt4yVENUIxW2d23b6KiB/jnBNjHWdo+w8M7klKFIN8nTqWc2D0dOvpUBzrgJs7+824
mYaM6UrnVG21NfH2oJYMICdqyDc+g/+9YUX5bUz0FESHRF7BWHfhE8XqG+p5GH2kROP5uvQAzP+/
pJNUD9h068tQKt7KSeZ9U1K6WhPfOByN5irKl8VuSPfaiE0FW4Pv4okshA9J+anIwsR7I6nUN5jF
835ObXEdC+5EROjRSlQNdTKjtxJwcOC65kD3MDzc9URwIEQX0IYKemwU3XpmJF/R+urLakzmexsD
qD2sFBJ0W5nv4DH0b2bmWXcpYOQGmQpzHoNri2idOPJhudTLI1ognPwGNpHvNCGdOLlo7oTwCEAU
Fs9/S6zKcxH70amgLxiNDhOFtC2v4+CdoSUNZmqUHnq9qLSPSed+MRndPtkkLj7ENs/myjbydG8T
6bsRAludyFfwLvwGHrPLQ7nAyVPCjSINvN9FUjTXDeSq67Af3esByfldlXbN8+B6aHAZyW+1z7gK
s4r6i0O9cZE5hvt5ChbylJGBWQfVWL/EwLrEUzmzAb4d5puPLxckLIKu7ozbaW6qfjOlmb7EXbh7
hDaS387IxuGTYYUHX8YiIr3IyrU3mumhr20f+X00pXsiviFWF7TCPLX54C8EQPmEjUN4Ju7ed2gi
HXnVe6SS249BHlq596zAWPrXtB3Ec0qcaB4flKMrQTyYNqotbkvjcInkMXJPY+wM4hbxMGWSmOZ7
i0R7iqQhwWjGnYi7ktrb8RxiztKjqoK5hSfETg3V1VDDsSLWNjwJI//Um51xU5vFreEOV6Jsyh3B
p+6NZuC0cn14M60bw7+Jrhg2Q9nDm/YQ01ofSzu/75CpbIeFQDaI+WsawOYUanjLExs1YhW/Qu9O
EJDiY15ZQ3NGmj9uC1cBHkRx/2YRlryN0w7xvox2pORZp0nn4caCM7UufDcmfCMG5dKCkWXYKLp/
pkteFpyMvJH0vhK5a4M9wxF6NVYexgSXwIzdVZnmeOmWRfEeNxreH9638J46Ma8pem/nyk+3tJnh
RZbEzSXW0iN+PSxY8sqtixTB9nbATQGxAjfStpR5NKE/HYBxZriBTrDFdcZeQ91gWVZWtsdioFlT
dZoXWHKEhyG2PjtlFDKG8ruzVYVOsbW59q9dM47e2pWhQeKW5h5imNerAznUsNitEbJrxCy7g+WA
m89A9lhowU4JPSg4ERYyc9S9OvU47GM35szjAA8w8+GYS2wCybIKXAWdl7Wy+rzbkTaUTHA70OqG
wfQlQA6xGp18uqimJRezyPNnIjZrf+1N3ryHaMmM3vcYiUFWJxVFCYcK0cHDHFXHTgz0KUf8cW1z
M7OJJCuZN3a3alhXl6Lomgs4qXpbA0UfyfroNpgBsaq6LUMpuaowCl3BxHFPjddO93p0snWbASdi
nn4Yi42jjBoSjadfgCXdI/nV+q7BSoIs+S48TNoNj+UQzZ/S3NEbFQ3ylJeNWHt2QVSpl6tVMcY5
pEIHt5kOa+Q6WtIy4pYYb7MJdtJQeIMvdN8R6fAGlVr25HsxGe/mPO5ENGNgECpjJxOygocYyNUy
OMsZ1RzT1IEQJJTaxEYcPhRBbO2LlCceGX1yDNQULWYi4rLGoAji2WjcQtQOriyp59MisCtgGIcJ
NGmvLb+JWF4Rm+mfw4m8xrUYR+gyCOxdqItJftl02jo2SQmbLU289qLQkfM8ZP4sVr6LdQTkkaK7
SGYYkevMysxvDTG4xUaQp4OzQGYqnHtkiHjaaPeDVbjPeCikkI3BB8+ij7vX0sk86LudUDRhVmXF
7jNBtuZhJACX/Oe6gtRgTFW+8xNXfa0zq173xbjUBY28IS+22BAyiQlXAMpzgQEPWm9itTOfx69M
juQ+tudQdrVYtxNMhdVYuzhaVUHUrbO0dq9nG4crDWj71W6YK8LPnPPl3jA0W0qkLHM4hxaGd+Z2
1Tm0ISIHVdO/BRAwGzy+sX7cmXnHgdOwC7/j/8iolsbutoGFyhqAun72I7OJNrG7jOqSFOQGFea1
xkvl1qibhq+bOvjC5GB9mxgH83VJkZdgdzI1XyfE0c02ISSExHpOZ+L85Ol78SVT27oj6bx7azI/
Cza2i4XKyioXF9Rp8bKjDPU+T9hXdThuSVltbSXyTYZ91xGNS3UuWsJShdnB469HNuM2A88qGyhn
m8TtONzDsjZuK4wxHlLbia/jkkqjcr3mCrR2+RShfHIMj7I0knLZlCGFv/cZNUka+pQnoZTWJ7bB
6s1pPNwbDbRAnNroI7yYjWhVtnwcKM7zPrGM4QHrG+6dJY2ggp/UzvuYmcOFqeDgJ4MaN/ESZlxT
bD1D1ynX3byUv6TePvv9VByhsmH2FTPrCcppfg/mJt1POqqRFKQhZJER/vrsRij/68Ypjrkdyl9I
iDCE/amJQOEZ0DTSzDiL2fyPkIY7GNCrZ0JVJ8leMvtpk21lGc67Gsr1pklJcgsTx39HOaQOKIXi
nWHZL4Q6Po5V7GBOzzFluGO8GZqyvlStLZ5V01SXqXbyC9MsnS822VAT0bNNpS4Ivg+gjVj5xhQw
BbDbm/clt/AQh6l7bVoJSdNTSZ1QlOGZgxvKzeTMF+RdjMh5yXurlztri8G4VXHrfTaY8iIQiU13
ZVcC7xyn49kGRaLeGGskpAMPDqyABYwPsE0Vcc5/0uiYq1WLLgGi8VIjTZWWN1Uhl3tJNvdG5BRS
IZySlTBTTGzhr2yxWGmuciI5ztkAFUghGSFLO1EPiyCNVEbXLr60DnqXU19oX51lNMZcpBQyszF1
/bR14xwXvKFxogKbCycbUCe7dm90YsMXquyHOhIW2KzT5Eff00V8zDlKNpFe/iKikIo2ZsfwdM2E
wAoUOTqBfYEjekfkOP5k7ILUUq2ZZItVRsI3jvG02U48/MmqmCihfJQfALIUV7Qx5oGuh0c7EN0j
kw2omJXlrjsXwcK6DBv4MAteGySi+TpnQ75r0z7dD4pTzQQUP0SwbvpNUnnDQ58WX/yWuh0xRvMM
fu+kmAotHPHl2oVL/vlJ68Wz1k2M2zaznSPzVJplR6X7iPynah24fXHsYQi/TCgmXsRscSbbhW2v
KjDandMH7Sc6gODMZK7ApY1myyuq7rFC0YETo+Uczamvv/RLTV0lYbFO4IaPa6GLCWYc9nQ7Cwe9
Y9tlVIuV76w4s/yb0mmHB9NChgOPpH7BrQqOjqCybSy6lg3+H6y8Hn+dRzujkZeyaK6gmOGQEYmp
fumjCtONoKcijYQghbt2NWukg5YLtGzxj72p5SvmKFyVEmPBjqp8hdGYPuC7L0+ykaAhNsqi1RQu
W1dSZnrnzv7ixWjLJ6LTgrM10t52TRKeY6tpT+nsY+4Vc+FaNq59ZeI/WAeVesA6nbZqnNN9sHTe
OJs3V2VOX+6ntCdYRep3mHKx3qaBbp5zr/ykJr/5CmeONsd0Y1T1AkHMiAeHJXjTylgKluVTT2LR
HwQEzrTgu8s9AE48WstSnehkOUjyEa8rPDpdOQ27qS0zb/H3xOZDpXSkS9OQTiaNUzIJeWNWLXem
zjgCPvZAXOqqaOmx54ucFBqIy+1IP+3A3wPQ4tsV/nyhY2gukwLV+HgMIfywgceVNA/TgEWWiOk0
nW6WNx+dduXw+JBdW6w9i45VlnQfuBilh0JwkBWBF5yHyCPQYWnLjNjgMghJRwHQw6VfABSdBvMu
R2+6xujnvQ3QZ2iWW7We5phDYJzAIIIY1MBkenYrGzGVEOrykPqQo3Co4dvJQQGKVD23OB7NAikT
38gkg4PmWbMECWEA+ojQxtFSmwhlBsirYcYjCBnPGrdVyYqJp9K9tnNvkduaZgvgoDr0FC1IjBa5
fNKOAKBw+1G+xhmdLhqN+b7CH2AV2W1xNJamFiCbbY1OCjbf0iEvtM5V0PkVHHud8k6lTZMtNVuc
Y/HrP/pmn1Hs5ZSDmVV1IhDjGN9MUy9lim9w+4qSQ0p2BLJ8fzShge8aQUte1VZ0a1pFdW5qO99I
4sTOUHNxk7HALqBsgmUQ91WdRyIor5WgwoUR1bO5G3b3RsZt/WWK22DTmjI8jz77bD0mXMLERVZr
Vg43JM8Hi3zdkhbaoyzq4YWdl+dZtss2TNBph9azAAkKU59aI295Ob6r80WKicVdsqCNo8yWU4DC
+IsV8EgIPXRvg4Q8llhRfO0jmkSwtjw/ePYcKDEBgTy+TrSgDh9lRRCCTMV5ld/CzaB7R0qz8eCP
3H2cDVYP9AZjOrn22fLp9wGvlOGKaz82XI6KMQygKnCFJdPHuxHSxzrE8WbtIZE9CtqQdeJl1l2D
1e0qHbiRjD3QTRRmddbOUJ1dXPiO5XIPEuql546QpGbX6pqiaLTYzdA6PMwj5UmDb9DZrAv7Dvkp
my372FPdBc0zng5QCxeXpw8oRvWARYENTQv6wwjDDiCjYzdpYBYg6FnEujtZT5BeeorMkoW9Z9AI
+lQXLIrZVPWXwjYABkewOieNKNF6ChbHk+TAAurh2Lc8PB/b7ORzNejY0SbWIn6km5rRu9jlUsch
0zxNrYPyjmb5vvGplgw90iqqTnExTba3RLGOcmQUj6anGmprh2fNMKPbCafPL3YxlemxEq48jU0B
eLNslQS82tsW79ZrHeDIWDCWAW1AcubIkPMhoVVlTbagglUPR5GoR+sOI8bhm7/o7Xo+OqqwnIWb
hhR/MB6br13ZUnLIThdHfOwoHhk6XiOW/KKUy1VDlO0c7SBhqaica9AXJlUoM5snqpJMwGCBoLgq
zDqkbhnc9AouJJvsCBH6oa4jZx3OCi+xgRs+B+Rt5jZQ5sePHwtzLjOOGAOd0quLQ+Qt/ijiWGkG
nZNtzDs8ulIo2TULOhXyFPsumwze5PG1aHwiGbSb6svG01TCoz/vpi5/H4SuPdjhNA4fAN0ifxE2
HcG4VAHzJCmFEdYNexo4vvGIyDgbD0MgnuG6Jxu9IOA9jSyEASiCqxwdwamP+l/lIv3dsOkD8sYb
ykEPCYPID5dRw1+8QYbaqUtogP1BpIDDa08P7rXv9fY27sfoNAu2tiSk+O5jWEx+TKI0nqbOAWrz
Fxyz6V0qR546R80X1djIp2EQ4lql9nTPlqB3/x2g/ykOYcHnITphm4J7ChZOf/uwDBNzXxlOdzDS
RSXYQXKeG3ox08qSa7wXudbpUohaiqYo7ztKK6CMRahWv2QN0OrHzf7vH+rDMuEvI0yuoOP6+Kos
H8rHt+Zv9X488CSHcJsOZekg1iGOLdp0wSDPOHWpfQu7YUP3rrczHvoUOgMgW9Zwd/1k6eQIs7zF
z0ueSItnN4jc+q1JC2aHXtxs2WUpDI22livZu78Mnvy5U7GwPVvuPpp7tDyLDP4v9x5dS17HsdEf
YsOWp4iUlAW5p3qUmWxvUCIyiXBksFHsiV+6mVOkGvEt3wy9+/vs5Z9R5a9GlRgMMED8z6PKq2/q
5e3lh0Hl95f8MeC3sKxiYsaIMoB/yLD+z0El5Mo/R5MCGsAywvMXWyUL0ieztz8m+gvnEw8Jhm+C
6eXif/J//88PhiLd337+q5USNIEf+18TSunya8gugpto/+SAlvRiUlXboPGESsKpKdzj7FhGCzJQ
gNAlpZSbqalPcA+ktaotqbYmLLXtSNDJfrA7eaZBH+wnN9E5zPoCM3o5KUes7UZOWBa1Yn5wlFBP
fV62G9hcFDPNbE/rUAXQmZo+Aw9HoafQ2s7W7UAD+1ypSF1Dko8mzt8Kbk+uW18zwG/HXVoKDNjB
/NYD4wEE783c772Qj7jC1gFTDSAHKPXGzCkq5tknYHUKxvgQCksPOA9k5lfmDwALxZznb9I3JLJw
V5WrcSyn64jyiTEEULy5Ab1G7Z5N+HQe67kViCUQVDT7brb5V6dDUbgUOTOyRVfOx9iocPJBQDMZ
p4APWF+ICG4bgz92mhs7aOqbUGTxrc5ycmEL5OuZX/SbMaF9X0fM+/bZ2PoHjJQruc5EDTSeThxp
bTDkeISKdkL3iSPBfd80aJybzcjkr5eHyHLTYV9Gduz4+8Ct8njnt6mpzc2UQdNCeI4a4srx0axZ
635WxlF8NxlsPhwHM2hHVZXTFxVGMT12TQHTF8pXBXkdjgqkDDeNEE3kUsHaIBgmbcMVgGpb7hrM
xOPV4JBniazOwAnrOrJmY6ciesYRb+beWWY6g/L7c8cUOtlAZ/P8+gB8ZUVQ/5Mi2kjRqeXBodRB
COrSkEwZ2hLEe9RSp74fsNW8AlvLeqddtV2nRl0Cj9pjZz3FUWLb+nlKiT9r3+gC+hJVU651EX3H
if7Z8H6x4eHX9d+5GfjI/LDd/f6C37e70PwNXzyUNYGgYvlzqwu931DlcpgxvYJBgKffv3Y+5zeX
PQmSJiwoHr2FLPH7zifM3wDoFoMbDyOtxQnwf9n52HL/tvOx47k8mhAYCEGlpPobA3wu+14xvQlO
piynCyPrWFK5nd9OpIK+lZXSuL4xLsSez43jVT5H+ZXjlO1zllHR0wh2xicr9qH6sp+pT8Lpo4dc
25G4kOk0vSY90RTHZeofraMKweVakmKwG6wo3EZTwVZL23pDEBY9TovqGH8ZQhfflJrds5JD8ID1
RtaudNEyGuqpBmbMWadyjWb8mIRYqeL5XWyzxJGkTVShi3indLw38LHiW2X6x7go9FVGfU+elxS3
eWSgvwe/it57RzNCNdRljgc2Ot0qzZ4ZEMgXEcXqcYplubYRIL4bWGOgIEEnLlft5EOKx9hlM81O
9ylz4+lS+7jEMeUU87tfGoz9qgxzbV8hhlbIlo4e1TZu3EB2KQi+I852QkgrqluNIJaQjATNbUwo
LIaBW1dFybNFONW0ZhSG9Of/s3cey3Ur59q+lzOHC42MwZmsxMVMURQ3pQmKEiXk1I3QwNX/T4uy
vbnknyrPT5XLtra4CaDjF94Q0iWilo2RyyKy7Hb04T+3Y8uZOFfpGXZr0QXqeRDvWvzgd2uNsmGd
pWt+tjZZhebTQiOL28oZuW6wFMGLxWvjl0XYJNy0U0LsOKppvAxiOWydpOwvxqQsCJZhb26ctg22
FVjVS7lONMyKhSqBHXfRjbe0cX5IpnC8B1fRH9Mla4+lZauvmZVEAyk37pKk00H3kRMeOncYWcCa
NYMTVygfWF1T3Qq0qKlAUAW5zQMIlqDJwukJ608kHEZviC5F1lJjy9ZFa7hYYXwBSC4Zdmk9F/sK
47ZbdPvlNtcUujYI+iOyPmuooHauhouhoLCwCTKd3kVD9wMAyTIe7WHtc/isbvuD9lblbdwZgtuG
StzwreGUt44JVNDHBEfu88lt+v0aL4V7jifO9NwhUHaHi/S0a7vGP8SWi29uQeh8gDcBGkTnSAWu
g0qLR0RDEj19WC2KZRW2FtYwnAHmyO+p5GV3+INQ1nxhdh1EYLJa5oyt9prMggW9yqWFXR+EdXKT
KvwjatHCEPSGCZXnOcCTQjif0ohnJKrfFdX60VM63c+Uusi6BRzOY9II6AxtUm8adugWIafwYhk8
SjR1iTBHQbV5oYTXgWnehNCikFnA1EPZnUHliuRQIG6zsUJyqVzH2JPR7oCwLy6dIRaoagpwxK13
b3vxsaJgeLV2XkLmL+09ZoHLEfgK4z5qjTXC5KFg0ESSFehRo7uxQD0GO6VGtAEkvVy6/wNKUbLe
Q6QJz10dz1eju2I4gCEORI9xHAA9r/1loPrxwsEu4X6hPNnAbw78M/QxhnsrVh/WjI1ZtsWPNXI/
0YzZBFVUvkRUFXZFQCGxzQv1YNEAuKlmHW5VQz6Ta198pIXDqRUhYL6JlRdTlSv0FrXzbIOwULSd
HCSUp7G8Q7X+MabARnGAjW217rEY0vsA44Z9jdLTNumR9C9ye4KGoKroKNcArwVqUYx2Oz/gjJ7t
7GmJz8PWW/dOFWCO4RTOfdCNcFmrtdwvnvTPQ9+r4frGCH6nnhqv/bi09z3IrasF4e2/3MrznsKa
2CorKfZpTOsvwnEIH8LQHy+7GegXh5TiTAlb00bP/cT6Zq9IwrDz0/XWLtm9eZMWd+vE2QikJTq2
GDofR5zSryBux3qfqlQjWLaO26Gx6+2sfIiKednf/Cz1hLKOLkvpwAGMF9q6+XTQCWJcfozyKjYq
NkrVDMqHucrKPe2KhsJZWjHaDk0OSQgbx9/yfOESiSj590zCoLdZYjVXOe2/20JF6HDbPsaITbme
Qfe293bUGeGpcDxIFdVPPYimu2xIUW5Kmf6nAvkXh9bVjV/q5lZMY75bqtR+wC6o+qEWb/gcitQz
kmTNBxBS6X4RvX2oOm+8nsAwnBd0TSgElRZuSRE1I5Q48/Fj7rlY31AEeXYVS5oEeAZF1+OkKjp1
RMFE3Crll1sQFiO7al4+pqIOok1toYyBctpwZcfJdKV8lJrtzC+2U6FKGMERR2ZFhT1WxTFPrBz7
nRH0WDkh0pBy5u/cAlDJBh7wemFXXXaoy6JGkblKPmUYC2T0N331BaxSXsJ7mPIrZyrVUYHyV9Dt
9dd6GMstXaL1wZ1cwBRJEcoNnn5Dugl79Ql3EedqxUOJFL8l5QBDU7De+uzeD0bxEQycc1hbiDML
ASRkE/gTf3V9p+7cNdB3mWrhanEw9UdudP2MxEX14GbAMTZjIPR+BgmxtR1v3RasygtfDh+GcVHF
bSpdMQxPdh/EEECWAIyX/bRYKV62GPXI/C/PdxJM3ZFaGLmJSjgut2ubYUnQYEqyH4WBabgTZuSd
rdcXZHCCfVIuzVbKnCM4o5oLd1ca5Ee2jGezXT/MWvdneTmnexZpcs5UVrsRc+APLknSDtzKxUi1
fweE4JdQ7v/Fx3+Kj8Ebv1cPgPepyrcB8s9/45/lACf+BwEwpYAodG2KUVSjXmmfInT+4Xk2gH3H
Z9dSPvtXiByKf4B45cdDL0JUDkHJf4XIPn/lo6wbEc2GHmRN778JkV3xJkI2ryMcCOiUnRCVhLD2
WwFvAv862t537AW64gfsscS1d/PsWP2wGwaUaR6LCkOeg1pcADQKbKz/TSdV11yJFoi8c+gstAQ2
ZQ93Gv2BOMGh2QCGMv1J2riGAcLyKMRiB5EAJbLoy049fQC3GpfV3eFjrxzCpbBjP8Mbt2YgoWMi
9xV0vIEu9RLnDiZao41Kk0tvpecigjwXQ5umRYW7V8MJ1OVbolmKn38AWZ+oX3oBiGO0oTERRqgZ
0tzp6LQqEO2APMH3Ts1TTMctDTOK/NJzIUMSNsc8UgukhH6YDbc8eCFKpnLrELzxPY2Y0z9Bok+K
m7wSJWESLuDNfkD+RG3oTYkwLBxdt0qmLwL0EzggjILKixWAqqJxgDkSiTUUjUwUG7xgIuoqBaag
hHM2ai7PraaD2G/CEVMGPFAnZWf7NUmpmtBGZir2w7BmcEBlkFh6H6xlH9ysayn4MdgdcFtRBkTi
Mf4Db/YtmB30PYMM1wSOsy+oUJ2ivJOs1LlVVs13Gzeg4KPf5FZ7T77Urnd/25l3rzXgv9fC3uaD
5kEmIUT2FutABu83NVNYVTEnfvJCQcOBFdJViVHVdGx2uHbDwrvFLcUnylsCv7KGbUf2N93DrWuK
H++/CZlx9+8a9c834dqlLeNHgHpIg99Oo3DTxY51EbxMKpIYXnZLMQwbCTI3dC9gYK5+8IdBPlnM
lADhOeDWid74z6zcnGp/Ly67zsxU6rlEjAA+hGnRFV9FVC3cjE3zHeP58GVVI0ldY31dpgLxSzwr
iXXf//ATNM7P14jMViI3h5ZB3eDtawSgOGu1htV3lABRoglQSLyjyZFVVzmCmAcb9s9DL5vxgDpk
sgenpD9ngOO6Ywbk7eEPL2N2y7+n4fVlqFsYJwrHEA1OCu5rjfpfS8XwO1l+gA6UUPe4KCIeFSz5
pSvq8WZErOSi85r6HLUvcT2gRzZsqOrpO1ASERurmaer3BrdH9wAnE5Rn5cf//CWZkjeviWUck59
4bD3keA+GbIJz9E67r3x+zKjz/TJdRwfKybHI1KFoHHjBBMJz6zWIEJk3W9/ZKuNGOuKPO985oat
evTjKr2yERj65EgPxdtRlMlBFrJiuNMCWEBfW+UfJvq3TQ2/jdo1Sbygzu2fLjdLpFYIssH9Vo29
bJddv3QW6eAUrcl/aT5udhMXpSdiBAycyDgUvF1TTo4GaJf7zosWqcq97+iRIDF2noA4KC7Stjdb
GoOXEdew96fm949k5QTmP9TpueRPZsZFYlHGRam+aTseoxXZsyqa7hPHytnN7z/qRFvAfGRMp42m
AlUPgoVTS/eibUU5T079oipcYsNjDoTvU+VQ+yE/DtMk7W51vCZ2fdXmsglsKi4wkh4LVEY6BBUr
LuAEXSk0Ez+QPYfU73/KHl6VwMyi5TjOnlfL4/sv/XZ/8c4+atixB6fQExw7pxeoQPPe0XiNfmsW
2HjuRlpxWfyYKCH7T21bB627S/CPHZI/DdbvEwMjLECNgE3jOeL0mkyMgUQnfevr6lvCWbdxSAld
bcOoyyQKe27l4GvHsVyGzwuG2RqNAill3G1rC9LAQ16vM8KBWaTX4WsKajs+uE0AgMevF48u5h9G
KTq9DnjBEKwP2yRG3Fqczi0MyE7Wo2y/ZlHucPQXgPPXOxVogDmbdYEpPp3FqlPBjQUFh92kgAIS
fDTBsnA5x/jdLd9YgHXxA9MiRoZwyyvXGYlIj/LB64XvJR23ma8RYntSaRxDkpzqsGSlTtWA/9+m
kUNA2EfFZWJGsBoxIYGlsowHOouuog9J1g3687qYkHVDtTNhLPDMMLwnSDxBXxwcr/fZ330250Zk
wyvq78E8ilxsqJ6q9Y7tH/tPTU4e/Aieo+Adcb6LG5TDmlE8lapFgn4PV6haH9fBDaeHSWJUew/s
t+Jns6bgBNlkWdAyZ06mZx5NPSwvUTx2O4uNjuIBWNJNaxfg9Q8LAL7G36i5cPhJbp+EH8mDUNXB
GcyCjFxuDmuCp4V6BFe+knRwln2Rop/zYOVzzI+jcGGeZqWo7N24MYL9n5FA8qdj4qFDd10h0Lqc
zXivNpdZby3jxahHzVrCRNKcfEAckZeOJoTlkFZOBhOj9VFCeeiIRdigHLzymq4sj78+AMuijE9F
bCoOip0NHZcB9REIWi6piJlDrKpDVPf36C8H/E9Og6wutqorC/nP3wHyzpKAIxI/z7YsuRaNWDdb
TaF3dPOFR1Nl4XBc3JZvSl9H1QPnxsj5UYeG+nGeB0S4m0qOQMFAmZknuvi3Fj9o8QcMS7eEPZ/H
QW+WSxsPRElu2TYsmgKN1/oeaBhdn0NhbMfRT0U+lz01NXHMqklBbzFnrsa87IcbhVgsHoZ0KCP3
wkKke/lGxX5iDFs9FTzf52AUyceogiBa7NZwxJEXlG0z4QCGFKXJFQqhXf5uCchO+Igi7gJ93bvJ
1KT71pJm3kNn4hTYyxUSQQ0BAZ9BgFhu7/EndA56d0IObvL4Le2Cw92wGwsAe7Qa0a3m7pJOO/BK
C1/PP5xHanDFzgM77AXbIAzZgkvUl6wUygoBuhpB5PJ6RZ0j1grFhypSfqOgfvtP+ejxh23sQuuh
JufFZoz7qWYER+rmDOcahWbNIfAcehTlNNSmQ0oZjyVqUrnpoYsa/rsngmMDhwUCaTekKitRLUKk
7PNFLqs5PIC6l88FPkFmS3vIybRAzzzBTPiKPKXBy1m40wP2zHBS0NQLO7UcJ22ror6eKk/wC3up
JO9HT3g0q9rNc7QduzJehX/UUWXYQ4X9EGfQWaYdHjShOZmyKgNvEthIcqAFj7voUC6pZ+9Y29Dl
0gmRsDt/WTTLP1LoInn7uEYYoyFQmNsANXJ/KuUmQxSit7eIDrv5bSuy3HA2DbuM0wpmqC0ODnuZ
jmeubMMA17LHhWGrK6Ws+RKGZ8g7omTL3PRUqVr/uVGi4WOapFjS9mOM0IPX3LSqjXWECknuzdWe
g5jjZj+4aYHYbNpBgDIkwSACSpU4wZAB3ixG0zKKSo7Z4Ns6+5aXmcN24ZtjetQrCg0y01mWXhn9
VxHeDCBgzeLJC3OkhEDP+u5Ay8msS6MkzRpK3Lwv08t2bVf+rnemUYqb1Xc5KlXfMEq72lATm422
QUb1N2oOMHc+FE0/MksNqFbuAgitM78r7m1zCgLBiVm5dt4lw3Swh27mJ0mZe/5ukPRyL6PSnoyg
DihDFlLmjSnHE3DPgPEbMovTAQJpyF5AOFqxoKZeukt7zuz3i3+JhiwrParUyotn2hp5tCfwYqRQ
j7wJd/3SUbTFaNunJAwNvzKXLD3fnuWoQTe2FpeyXDgflgh741ttL4hkbjiifO/Y9RRrs33UypY+
We2YEMtGCmP5VhNrl9e/8l5OfTM4M624Nj4rJadqvE+zYnat87HAfI8WN7D+HXj1Jtl7CLrh4AhD
F8Bky+W/7KcFIKZxHp8tRqmts5CNXcAZZfFEOXwfQPOvy7rOZ/N3i9e6LNw1h28U4PltmeNeWRGX
lrBYle7eDWUs5w2RKOBPvC/TnJ3rRYjdA4LLBNhlB636YqfiUg54ia9iCb6AhKjkR7vW+POC58Dk
Xko8GS+CpgOCCVlj7L51NXfMJch+yzNelaG7bZsu778g7IMJaxk2bfWC2/wq72uEg+TzjMEA7RsU
kJFRsaoB2RHXnztsoIH1+Sjuw4RS42Ge/Wi6kX2W6NZYZtTiyq24Vvc0vSax7ZkjySGvo34tuIUn
6Wmwu1BRCelXiRvBxguXygE4IK1l+Bw7YvQ+BsgDeukWIm6pYUtWzpKA4Yj5/oR1CqfvfMi4yapt
SLNqXXdxXq22NGV6dFfQdEnoeAzl9WzbojtM2O4imEWAtj5Azs1aLr5gCC8UAi9ggL3BEduF5nVL
ky0dVLyzoFbSjMRHRdKAq9IjTPdh17f2vF4mcWPbZ2IWGQ6wHVD2YTMg/Z5TtHd9665Dmcz7NKoe
kMeZ3YVL1+9jfCX0A4V9d7i21ADUDvV5tT4ODat648sgkJ9gReDZjLZVEMoOZ2A/XfXGnsIOSwAN
PvQsyYdCk3F7Ud1uQHsZk/NQrqqPvoq6iJqXzOnaSe/KAKlVFLl8dxy3IzqBIa0GFFPtMzD5vW/U
Qm2/Cs4SErfgJhahVZZnU9AR1mbfsZF3aWkBm4eq3e6EPyxrAAttcK30Rjp8THH3K/q2sZEIxP2c
1m2r6OHSsTOWmi71+E/z4nedt0NlWiYT8ZSNI9txmUKfaCyxZzaM1IuJNfEURlHoDFTrZK6VmIOE
zd1HJnyUXOBsh8wLzAlXgwzgKMktuLf04+AtpJX5MEhal2ufWoSkftZPXD2oWhXcMkPjwx49W8KQ
33kY/dZEf4EqTeYQFgK+2hbEXl3FZ2Nf58GT36iGVxGdFSIDCZSO2lY39j7HpK9ggzxEOIh3zhkE
AKJgUOsmio6XueMsK3AJ4dBLLBy/ucNr5dv7STTB6gItgj4ojxAtXc6Ueqyhom+ISyLqm74PK4oD
sa4c7ugZLQNCk3kBKtgd8CE1NyfWKZo3BUeKJDeK+mvYrh+RMMArZNsmMT6sJGZtwl7CLUXy/gqY
PCdK6eEJUG2dAtHbdtcknRLyOZaxiVfpw3DaOMMog6/z3DftIXBQ3b5K22LiWgRCZGKppgtNyJLF
gxmjoW2CQfwYLbXAm50r2kpwNkRDnQqUVQJ/CAtt6TP8nOHoSu8hKlJeDFRtbqlfN5hH33ZCug8P
lWEbxIjNgu/EkYiB7FJYwi2c85qko6L7RuAaca/wBqOy8Ns4/nMk1p4ttBk7FxoivdqM39giR1V7
u1I0Cy7XBERmKeY2ccC9X+vEf6qk4GVep5ELU4hH0r9xeECjWPPFLohh5ghV0lCgTpaW05zdrXNh
J/HnqQz9ojxmXUCL/dwjHJ0eVmArfBUeyabYCSx0yrPzjk4vv8se0MKjpuIsJpGPgp7FUlPUEhrd
AluGw84rHaKUFJoi1+XUdlL6R7tL1RTdrUPmtPlVAAaA91lWz+wD1wXwj2NuSZD5UCnPbJEe5B0F
Vtx1+AE0Q0ygJipS47xHCK5BK3zEkOisd0JkKnbp6+2aTRPePTAwZgLVLQAOosDAlSbeHAKzHpOq
KIisbUag+AGDtOEP/HPz00Qlcr2bKxjs0Q6nSYrv2ywLTWiITBREvp1wO/O2r9ujHHzmpRpnGKtn
UnHw1VdQXKf0ywTeDnFCX4RlyK6GssQyzRdiguLgSc+s3aqBRI6djUgngA0VGJERUQeAcgS14N2Z
2xGqLc9qVskn2N2E+iDoDBNax1NLygcuIpfPkxxzt96ocsRoZUNu6blX3gxrGXMe32Gd1bZjksCi
A2PxYAttJoSeN+EliSfzPCyQli7d2SF/Any06OlMQ6Qvn6dMaAYleY18VGpPxBoKVWa+FoBASWDw
KyNGvTkmMNBpiigB5gY9QhcHVCxoVCyWZelv7gRh7g4AHPrPboYovMHoylRZxyjo3PEBrps7Wltr
Fow/KmYm6Q6DyERhUguT5IfocPAP065lfSTwFpi1oaaBgE1zZK0oVsvJR72MEm+LUhxBCGfAKnpy
3vM+7BrM2ckfWE6Bz+MpJWPkwK/tOJODYxf6Gsk4DJ1Y+kcRCVTrljIijnrdehgLmdCqsuq4qTcL
nAcgGMM0KbMwgJHzmlbiLmZJUkudm1vb07rpGZDVZNx+jHhCgCpgaLY42XLaXQcQSwheqVimZ0nW
6PFDoMNVnUejFtUxUg45BReb5REfuHqYODrxg275NbE3SM6qom9MJAqhglMcxY6fWSP2kiW7FGly
wSFFwD8GW0XlysGlKJ1MFviaWKAmbV66XfWMIDG7bIGVM0QrGa83RQULnSQJzUjIT03DlOZiNK8+
NpqbcK+zMRmGPfRmr7wOO4oj/OC6sKIQjTEH1sA0WhlACJXn2ARYuVrpRGVuUz67rTYZ+vJ6csRa
mUC3RoqDb3m/avQfakaIwoJep4EIV+C0wBqhGT7jmTN/1clg8swps6oMi2dvwR9vo0bJ9/7hkadV
NcpUaCn5ninnIRp/WmdF2aKJ7AF5SD+YTbfwdWlUkWUqu+9/3e+PMmq4YJZNg5JW6Ell1UFqYZ2o
TnzNvcScT23guRNBIYc1Z9f7z/pZDfx3gd0LBaXjULi+AyYReY3TMqWyBcZ9CJB+1W49ksiMGdV1
tBcGGG/o0MtacBeuQcuhMcK8QVx0nKo+qrbdgArJDVUI00mLSXnN2fN6Mv/qteFyYVKEJvQRfr5C
PGjmT++//m9DZZStCGwFsHMBxtz8/d9YA1om9YC6mf885ELzHlxQJi3kciWFev9Rv6054JluTOuR
ziMMi9N6N2FU7jQEUM9xFrnjckyWqJgfxRqaLRIk6fzHJXfasoMDg0YXHQ2eicPqqWCw7JUbpdTv
nzsvM2fUoNlsd2POyX6fOrG5s5KYeJ9gYuHP3ysEs+Qtp13tn7//7afDTJfe900vg7Y8iP3TFTk3
g57mOHW/UJMgdVwgpi3fIhRlOQHff9LpKDs+cD8a/6iSGdDqafG6JDCMXFGIL2PThuX10FUmNc8L
MrXjlDkmanz/gWix/a3BRNME8g5lZ0AFSHARNJ2sIMQBVg6TRX6RDX1JxCjdxBxzHIoL85rIvtKo
eeZgIeNtWPoZN+P7L/BTIO3vO5BQy3V+EndCSEO+67xdw2SJWSU62GV9Zi9ps6d3CniMqgdcp7PX
sGWSmQmNEV8z5/evorjlD6bkVQcDOqLn8+vg1MgcM0aU/hd2MRJXLtnCCo+PK0GVcxvhKIFtEKrD
uSgHTutw9s1lOS1jO7WoZdps/A1tNlN/HTD4Wr6JWeoZ38OSEt0ermDuDOc5UIZoxUvDMrGVQqiV
w8KSTkgWg8Cquc5R6iS2wVTOXPFdJzteK3wt0CtCe07NsnRM0ISF+M+IzxEmWE4KfPuMnSICxpTH
0gK9jAtn0pMpsjQlZdn3h/+3BRd6DkQVFCch5/6+tEcyi8yy1+Vzm/Xgn49pN5gUKAb0ydH7q2T9
/iPN+f1mwjlq6SnTo4kMFtwgXP5+aNEoQ1MOWNznOEUw3d2POco1134UOqV1Y4PZ5MFeFY8kUVrA
laYIW9Xmbd5/jdMvd12U2Dk5jVI4e+7UfhcVnGZmLrPPZUv58yKv5VB/ciAfyCtHDX9w3T09QVyC
MyQHIy9Asi/yfrqc/u2gDoSd5lmn1Jep74r10QfExrIois5EVu9/l3OypfntEZrnAOlDOm94p550
+9NZ21WFzNmnRg12tEsoXw7pIaWMSqabY1HHXgBgUfM/IQUb1qVGYfGRZM3HM7WjrEsJhpTH4EW6
2a2IQwWQSiLsHIbvUxZyCHzDSjczZS1tmTJANAQtm3CKAlMmRu+Xn54sTFsa7Bt97iKobaZThJan
Oa9JCErdn1sW52iF7wymk3/wVj4Zb8YALUbXZp96IYCD0zHw/XQAXz7qT2NdmJs5aWlVoOqLbMb6
+P54uyfr2cwprEO4e3HAtYhy0tv1DBWVmqrwkofIa38+a/QpnZZTb0L9kaOeI+gV6wHY1WSCjcaQ
A2u61z/JaTQVAmu2GVzfC009k1yw46RzapVQUbDKYrTWK8VWBfmbd3U5ny3uSMK0L3E7JmkEJExa
8qvxR7fINJHw8HTYO2tkr/zd1NZmwlcfB58n62d3PHwtTUyCCuiwg7ttZrIQRC1gqHFaZt4HmZvC
8q8WGjuStVvQ8+DeSxKqHNiMCKCi7R/u2+jt9Bm8Cp182wEgh7AtumMnS7jnC6YIiZ5vaBKGT4Vs
fOfg0B49BmWEopOusuGQemD4EYmEZgRauzmiMlY9TimI5U0TjbibqNTdxIhe45WUDf2nhPxV3VUa
svU2iyaUvOPiQ02r7dvUeXA+Amnhl0UvJ7iFTtxeZkDur7mRMrhpdTaVOwuro79W+sjTBVy1wt90
CHl7O6qG5SOyuQPJQYX49VbF8s7jVioPXmVBvVuA1w/d0u/piVePwDa9i6py6BIUHaogXCIzLbxB
VF9ATfiXi06RfxjX3hY7t5Phg8P9/NxlrfCxpA0yShipUmdO0TQPc+iiBAQSG9ydbXkQyajbfS7H
WL1UVic/Bp5ShEVI6xZIFR5oEyzYetEv0mj+xbm1Gb0aIxe0moY5nijYZEXx14jDNVXzBKvMYZbt
w1ogbk74aWHkg0HEFqfuD96w2F+dZVBfRLh6nzIYHNtMgw3HgCaHDw+E5v1N9vawZkHQVuYwM0qu
ngND9mRBtJR/QkwSmhfmS98h+gSpLahajGYCaQef3n/Y2w39+rAQYKa55onhTiOSBMEDcvK4ecFK
qgaTpu0H1MMdFETq8nry3JH8D/b1B1qEKHO//+zfVv7PzwQbRsuGQ/w0Hxl9FWP3LOsX4Pckrm7V
lfpQg0f60/X38zf9+xr++ZVwTAEeoCHNhXyaRGqnLp0JrMyLmI2CkOtwXWxaEp4cG4UqvG+wtLnP
VWJhlVD5mDy6E2zosyn3g52uBmCGgEODWxnI+KKx+vAT9y36YNQVh8e6JnhxECTF2GYQ3gc0o5of
9ehGVw3l2Q/ILTl/xcDnh43AmQyVjDK9deuYdWyFdUD1pqQXJ+aYwpqMl5eixRiy6EeJn5hvPyOH
425X5u8PsdDvODkTBhAGMS4ud/RpSCCsUGkP24YXFIsY/AwVsDO3LSq05fRzI+LqswuhYDc6KU0P
JDkC7B8XfDXeXwK+WcxvZgbqusnqAJ8CVAzCkwsFhFZN+yALX9KRxgHlNAmXBsJ7vFN0SRB89Wp9
RPlVj2hkdjXdnrY+ttStridoXAMqL6l1u8IROLrrQuEMWsqXOqeevpWldZ2jaojMDfo6bu0+UAOt
MHdm0jYBjbFluw6atkvRqmQbdnF4T9g4tYcZS8glKHKopsh4YTXmH/O07W5rtI2GXZuo8etSZSPa
3U75AYcuLohAi/ngOsM8blyZpw8zwsXFNuttPiDTMDrQ5aAFEGK1SSOEO/Gj51vRFYo+3l+CqjbQ
97KENvL+4JqxOx1bFIVJ9wOyWbQC3l7WIyVh5j1MXvrc82/QqSweOwQ98QLoG6ios/EkeP+J/wn2
SGxAigM/G8jnKexR2E4la67O70VX4O5sufCGk3GxLilUFgcaEQMnvZ/Kl87FFD1P9XCV57H9AYEb
9/D+uwS/Ly1CTY5PJ4KdCUfz5PPljOxXlAL6TDUNBvL2NvnSyjWbdn29oPlhOyUVjrpFH33wqRUi
Thf44C9TvAerOY5RcbFQwpNtED7lQzWZ0i8l9MZSeLQHuTr2rouf+Jil5xDfUm+DhaIzbxQML8SP
OruGeyWidov4kt+dWQzLoSgH6xr1+4kfwBT46icsdNEz11nh590hnbm9ty1iqFc1bV4iSrc2RI++
aoCUYGK8n2h6PvoTqSmxiPo4OLo5z+rKUIpD4DKsRNpF24Cq350b5w0tVxB1EAg1faUhqKp0q8A+
XM9drBTEKsQnt4xfK84Bp8zyzA5S569BtvkTri7DD+8nVUVNBS4RP2fn/3gWD0v3/X//5/mlRgcL
nqLMvw1vVBQowrFP///CC9f5N0oMz81/+Jd+cS0iCBU4IQCSpaBh2MPOP7kWFjRl6A2C2mUMWNMH
R/8vsoUX/UNE8IPBVFL8g23BW/yTjyz+EcQ+6FLqnSixkKb+N2QL8TYnAx/qGjcq8N7kZRzup9d6
ry099JUSlw1NG5bzhNO8PkrfiMRhABegJJAtdXtVlAIiRE75+Vx3S9ahihV3/nOYY1MtdotduJMG
4BSsCyQDr/KKy9QUhTYAQkvY+I1CEP1vI333ejT+HTj/9sDkzT1eOGJo8ezyfRpdbw/MiBp7lchV
XqKqp+9FRq/Pn1Glohtso+yzcFK8/0A3Yq7+dkabR3L9CYgOlJthPZweUlZe0dqADnwZBPEVJotW
scUNRQRnBS2DHjXv3uqPQtoIdc593Ovt6E1ApWKoVsmBi1O050mIEPxmnUJGpQmScT1zhkDfRU0e
untwalC/CGkfKoou6xnZQ3tZKNPTSXGgnDbcwBKQo+zrdQtokkg+nRvG2gomfY9LPMhHzJeeh6aj
c17Af8E+MkumdC9D6je72U+Es5kDytXbgBnpt/WgxhE7F+TcliB3HqRwWQTk1v6zdBHXXjwrlvsV
PNaNjFqywTCFUrhHPQ+6lzBvbmfgZxCvSZ0HgT7cuslDxbcpWfSfyVs0fj0zr6GdPNJ7yt3dZ2ea
S049PGezW53VvFG8+O75suLB9Umi7b/mm95CnMcpMqEunZZi4c1acgQfgnAJuicHNa7sYpCK9Zdi
lbq1aEZM96tsUNwCRqv/6iKhrS/c8YxcrujQoN4LyuwcGA7S+pMs+ZfAKfLoChQLeiBjyds5xYRS
vSbDgXdqoJpG/VAFxJ6NEVmFcgdyrmz8ZwiryeO4BPEjcCj+dUTlZL3r8+BDFqD7vrVVzyDlIHJI
8WirqqcMeffuiMtbXQMdKrEH8XOXYcmtCqEq7aPh83FZod/Cg/UdcQnVvMouVjMloRmcGAg/89e5
7WUMnFOgHD1Y4Xadpvk6S+f1gxXZqCUjG6KPRto0QjcxF3iLYsWMjBq63HiSBeEc7tqJxhTIvXRX
+T2xsjPr5QEtpwHCcAxhty4SJAlXf0RVnMLL9QKa6tGif30zT111B8sofYZKnR9bq/KiLbX38Nk0
tv8iSABGIlaWbDaTC03zNEQYs82MOMQZ/NQdwFUIcnLzPlpBr4YPTo4T986fQpbNJEOGd87rQN5i
HuS7B+iwFqTWeuxdsSKCFGWwswpWJN7utWbuchrN84+lWMbuM/8XZFenZ32f1zYKdFyf+bZNWSOK
fh1ZYIsRE70ypgcGah/QPZyZW1Q1K/ooYdt9ZmTYXLigsinLrp2TA/IhnXpSia/vI454ubfWkAHO
HVy7z0qExC59ZMRRZdCKAuVUtOWhSBwUYFy/P46GSn/lNjRv4AiPPAUP5GLdCHZbvMcjg3EhySN/
Gn3ZXuIR6sgHVEQs69ECjtFfDY605N0CTxtl8cXl+F0JI+JPuWfX5X0ygaxFtFX222TCPWrFJnYC
l10zlhIB/3yr7ZlcIY5TBoIARx6TKsKwwuNUyS66HuTR9udCBgfFxLUITMtdQHEM9U2JchxiCWim
cpi3zkM+UjPbRiLKgicw16NzWySASSgDi7L9FrqzuMlo9AM+NGbBlNbSgkTg/7F3njtyI9uWfpV5
ATZogg4YDDBk+qzM8nJ/iCoZkkEb9OTTz0f16bmtUo90zwXm3wUajW5IVWlIRuzYe61vRXEjPzVG
w+w1sPHOfbEQbmXvG1YIg5NqtNjNbVWUJWZeegsQKlyy9pqtmRn8Jp3b6dQql2veobK4SsLWp/ce
Ornsq+2WJhY8pooxbBh9MM3bgv1nUWDdgKoeo9L0CvC9laPrx4S2PVwh+gG02dJYJ89gAfCXxt4V
kYn/wR76KKwW4xGd1DSGRlH1z3M1a1vYYAmhpXUbWn2cHK3cjwibiLADFyk9CcMyZnuT4BE/aKge
R3IrpNLS9zF6xXYnatspJQThOSLFp66Ode3p71Z6T2gVOqq6gXBYLCIQPtB5pck4eQcjM+PXvI3c
r1NsRXj1mvK2y52bfmzUvM3yZrp3Kjf+ZFtDuS3YpDYgr60HtCblJ0Mkxc4s9ZjT0VKQ5ty5zZ0f
E/Dm1ug7AnPJ8ktax/mzifsi8PW229EaIipsmKZwnQhuh2KsbxHwFDc2BPxtD8rznmW9/iT9PkEa
lN+N9DjknvmX2Cm06atAqOTcXaWP2MPy57EQbbxruhL6NRsYHAO1kL7uZzsESBzAFaF+nAFdlr3B
qp7YdOoPpV3UyUYubbnzUr16nzjO+tUW4Fk9hwwkRMwEQiObtjjVD8UmhoDyDSdys8mhyB3MRcY7
ovjMqx23rtjQKixR3ELvKDdtYw5n1RbV3suJbQxlblVHN5nMXWwb9zKq6r3OWH3T8Bk/QKysR3ap
wTmWCMGG7Vy4/VV1Inr06W7uNdSkO5uA81CT2uLt5tnB+MAB4MyCPR/0spyPo2b4x4U86e3cNk3Y
wRcOVT9LgKSt8zSkw/JF13N59j1/OTdl4/8rAe0HztbfS6KfijnSiDDjrXgbZvBQT38siVRVWJ7M
4UkCbWoOtGDzUB8tNiGhwWWTACMRGea/M9SsR7P/OLmuVRFdMBvr4JrHQ4N0rZr+NkKAN0XnfbT9
k4LR+JHoDRaGmiG095sO1I+ttj9fh2a2Q7lsMl1+OxEcCF/sWz+OTiJbKwxmqqzZK+bXniIWjF8X
e//0Yi4aTr5OYzUFvvkqDZ5hYgYd/8TQwd9WK461Bd8Zakhvt79+qZ8LWU8nhdenFtf/YeyksHXU
2qQ7J4t0+mu5Yj7tEZpy6yGMbV3A2P/26yEmMw1uE91hJvOmZckpl8c2L+zTMiXRuz+3oDJZtf8o
FalG2nTm6/31a/7YuVyv3aqXIMmN/hUX722xPhex6IDeiBMQXaorF7RtSlkSsQOXNPyYqzn8VKgV
GAuRU0u2j1+/gZ9vUhQCNt/zqq01f2rcV6VQ+pSDCe97RGLjCCmUNlD1m27wP74K8n3fcQyUG2/n
8XlkouZOW+cUw6I9zCn0V9f7rbXwn16FA6WH/oDIPvvtY+50lqlsNLYn0gq8jZPSL4Ho+1+4TbDJ
WTq5rVy8nzrbGUpA+KqVfTIj+MRpA9aEafToTts56oxrV0/D8psj3c/rF2s6qwkfC9ELL/vjSoJ7
Ah9m7ogTQB3ngwHm7rToaPCCPq/QuIFQNhHaLr9tOf/8sDNk9pky82khH7x9ImgEQa6rbZMYKZ7u
iIH7uXPIvF8k0Opf34f/8BG5OYhfpAan1fd2sXSJiOGlChPg7op4BTh0XtqOvCHBDYOQy9tM613z
6xf9p8/n8AgiyLLJ5X47NxjAgFsJnaxT7igUw4WwjrnuJXsOOr990t8Il9ZHHc0E9ByBtRvZxNsR
WYUz2tNZT05L08LolUZhYxVz9fyhRpV/pWsN/iuCxXg3jdR1DOnm9joookh2Aio/hwscMZDJ2y8G
UBiqzqXMkzsvc4ju/fXX8vPCyxjMWluglsmw/W3LtUztkSYhOURmgeQlTCOoznLS2C8HCeYikD5l
/a9f0vj52cW0zlPF9kyEHPPwH2/xOKdfgl+HWxyFWrOdaEijAiScBISSwZaZ1NF6v8vUuCp83h8h
Gy90YVN/elCtqfK9oveudlRJoH8hWyWbX7/Bf/pOWCm5V9Ce6frbSYOuYHcNHk99sXgU3botP2Gm
s05tTnhzMCr9d22cn+5N2t3r00Arh1sUO9CPX4hK27Xon5fTICLx0hKKIFF7ltymU81p/Nef7p9e
jL4RUiac72wHb17MYzajx8qfT1M8TXeyJMaKcAdOObZec0r69Yv9dKnXRv53lzGTOpazN3VRkWlG
jSlhPjmRzcGSoRR3Fg8ip8Rfv5D5IzGFRw6hIaICdgQ+HOKR9Z38rQLL8ZpOTu2OVBANkdQ4sTjw
al7bZc+RVi3tuZYDnRARw4VPQH9OnEhcqwkUY+DjVKnpAVcNfQINsZIVtoxePi5u0xx0ZHUfMcBY
1k7P1+7HqDIOxyNjpruuRIH9OxLDz9cH0ahv0zD1V6nZW8VCisy+xvnansyFSMCx7NF7kJG4j/X5
3666AG5wD4CzMWnpWW/XfFDVZofXtjkxprWOEML4/KrCpKWZExDVEqDMv1cDCba1NcFW59+GDdnm
zVUqF6alqrHFyVGT+Oo45nBqROS/+94QwTFIV0ctuf1cTZP5m5XOfHuLoM5AduI4uFqZI1IJWT/e
IiLH44u+WJ4M5hUkPOvSczIyKsFcWCiJp8h7JR8mE5uhao32ioiRJ9Bq4vRgdjMjL9OU84OOaKUg
kGnt16gGikMg+ob//g5ebwqnlQQ3Gemd281ayW8aU/vga2j+aVyCAby3Jd6kZr29UAFQPWDAN+rT
0Mx1G5hOO93Z40RrrI0y+n6oD9joUzXE7sYDpoUSS9eyZqMbWXEPB1heG6fT9pNInbtqNrRlX+Er
COhiE6mmu8rUb2hL62UI1bH3cRE29U2He8UArVkvZNrMCqEcYQwnolKMkBwFG+dJbySKoLlepXZH
71sfSNezFgkEM8gNLGwkyRi58WVsvIymuEasSggFeG2GkmuV3A3Mh+IteN+lOjoVLco98/ooOYDD
4FRUqoU/XZT7r+JzyCI6L36+1jWq5llLytwm4xO70BhmRtxwcJ8bZP/H2NOmh3paiuTOKsh7vsli
NXT3rYUldmPWLk93ZRR19lAtOvtF03eG2qEumx4yRm43seNU2YNbG+2XCVPqQocX6O1X+HG9uDTK
WFtRY85lJjGEH+Sj2y82GO/lERCj8LeZKcXNsGZ00dEgSm2XZh3jfwdETLGhD0LnCkoPjXCvmB3M
nFbEb+yBpRivy2iVR3zsvfY4VUyJQ5WtZltfLwUtnCTHs3gLr8TuHoxUS1qy6TMar5xXoSYas0ty
lqbB2R+GpnWzDUkIWrjUJckjjskSbi8xd1BZDhwkTBeT8Y0YIgNWKVkhEfsqHMhr1eT0tDCQt8t+
wj1sBibCvuY27vWpQUBhNznxLcyHL2XiOeZVSxv2hu91AD177j5yUGg1YO+nbwY0gWQkbDS4Dum2
VdM3v1siEALDdPdnC87Oe96MxST5SUjTfkmjBGhM27djffjzsXJM1hZ9DStAJyO9l9JOab2N9mw8
GRN+4gPdXnrzZidYxhvH5i5SnsPJLMltvlezXXvmllxH2ynC7t2U0of/czSD0O8lsq21kIgFtZ1X
ueKlMOTaiW1oz4N/5vgzGTod+O/bn+v0NBkTelfuje0yjwgyPZ3kDp+e3p4LHAywAWuNSUM+C75Y
gSfI2knfjNN72I68EUOnd7KroVc8lJg/pk/95FoamXaunWUPHiZm4IpTbjw5UpYi7EmRnb96GpOM
rfSUKe5nnHHOJpmpjTEHI/oq2I8ZAwAXTWhXcK8IpjkZT3Bnue8pzDMQexDvVi9xng41AYFRtBT0
5rXchiHVtHTr55ym5I4O2uLRkpAiOhW6PtFqo0PeeTTIlh6e0J87/n/PSX8zJ2UNYCf/f49J/zeb
QFX+CKT7/iN/AenWlHnOJhbqOkQuYt2d/gTSaQboes4tzEdd7B00LKii/krSdmHS81P4pBEJ8ye8
h79w9RDpTI+2Chs7p3ECLd7Q6X9Fq0dcxeb4tw4XXYNVI0sxh6eBt/e2e1Eot2WIRIvXSGt85MhK
R7yL2JUJadXPVT14ZoEMyO2I6sjMIi/09x0KKgMVZF20T2YhOlrQq6WE8FkYR/UoQ3coVe09EgVU
t04X9rLE8BPWI2zanbBGSt+y9OeD1OhVJCE6Q7MYjg1jBETdwdL1JVz2Mp+JHRuGFCmhD7sTKL6c
TgghBv0oofxeZhFFT6BQWCI154O24t6BUbpxqE/+xrdlfSNX32aBCs8IbDsznxInXUiSTfoRc3RB
FG8A6MrfjohkR1J2lxgnds62smSD/aITnwlgr2uHS6onPNBmsqpqEI5SFIDp1fM9Ubv5Hg8uWYe2
X6VHp4iVe/WxrkEHmfV0rzSt4neuPP3uO1pfW317ycrbr1fyvvwO4Xe/A/kZdQLnL1ZOv2lH5UeA
BcbD+B3jj+KOYLS2RYAR1yvoH7zCgrIe+r+0FTkAjZjfRUuFNbCJVT1R9iKZR7ho80HF9ywBTIrq
ZrSNfN+aDtWykQ1bAjbIH2iN5maEdVSTnuyOWwpGDm0QL+0jFGn3nS8Z9KAn8ts9hgjV7ZK2ITBt
4FbfaFhS9HvlZFsy58pib3V5xOzTnph4yc4N0lZKBtdDMbg0vEVTbfReoOB0hoKcnyjZQCjsvZ05
juN27GQVFrE5gJAxO32lBde1Ha5GoW9ulOovC8niu8zmadxlpGJv2WNnVn/i4Xd+U9j7Hmz1o1ES
loCXO/8AjsYJIh2dbViDEznkQxLrG7Nxb8kTaFCTsW810Ddo5+KE4KZhdxpIRM3VbmZWssWl6d9O
tqr3ZCRgCVciPiXA0dygsooMp71lM/hJ+vyLLrXq2EXSPHaFW2xQ/UefeBoaFLH4iF/hLUHrnttu
yPZxp8ynKE/749gU7s7MkQIGfhm1j54YPutQLTbDjMUhwv0PdDmf0yMaGYteSgycJYzJhrkB4C1O
WWJ7Hz3ainsoN04U2LDaDIaNhAO0ROdamzZST6R0NVeFEvk17wpCS1Q8v+sRMpO0F/EIapruy6DW
FmqaWmtv2e/Lq7KlHIn2kjINgLdEod0Sx2mQd/jsxKqDaOCXx5K0l/coKzhreV2UP2SCyQ8zhHo/
dAWmZ4/70I1EH9hgke8xmPfhjI3f39GpRJfkMamPzsyMJNPBrr5t1jTe1tGhrBvZfFR+W5EirWQw
TLMflFH3WcIJ2VjzSAKCl4JnydFEVcJ8wW343s4bsuWyGIkgydxuQ0QYuq54TYMgYLR37sZWi2Je
NoNNi4Dj+1r/37vib3ZF06CW/NW2eEnRs7VV98PG+K+f+ks+5P9B85V2GiIhTFd/T27x3T+Q7bHv
ed8VQt+VRf/aGYX/B24OtP9oRdeGpksj9S/5kPUHVMvVU0U/3sZi+O/JhwyTT/Tj3ghNXjdxSK0N
1FUZ/+PB0iJ/r+hEqZ9LXcOq04ds5toGekVE4Lcx1dtMWCRSzYh0m92kMW3ZOnVnfZ1II0C4vGBW
rfu5vZDNBScjQPe4vAdLIcQ7ZK0EY42t8UrkZvxcTIQFprFjvx/IfbwoPe6w0hMBvUsrkgHQKWnu
JR75w3BwYJ/sNdjqh6aT5dmVhKghXb3Pm8561UYik89oNCZCzR2zuxkkmdrPVhb17k27qIW40Byf
NuGChdV/kd8lTWYLrJzdPiDnarfMJOEuWTtvrEa3wgS1+0d09yMKjH4otEtmpcTfKdYvcDpc20eS
XQqM8WZZZVsAn+kzCkYFQZmAyLBJJUNH4dhEMzaVQhvfm8fW7ZK9OckvOd0qoCJpGra6SnneGXbv
pZk+zSSr3TkSXc+Bv2JdCDKOig1LCOF8oDaQGFJmbTtDe5kywSKkSygDnKE4PpU+/CQa4lM4EJa2
YXyn7O1C8/XBQFB9GXxUGkbXu8ax931FL3zxo3dL4bmPmLajp6abTe/Y4PDVNrKt7ZzkP8F5xW0i
+WEYm2SrWaYbZuCn+A7qIVD9VJ4cv8rP3crULfsC2xrn/QjF1DyP567vAMBrcZ1s3dRZHnBZi1Tf
RzGahcxwiFFsmKGwwR5mOS7lhpEKVgkR4VHzgBUdRFWYH+rFYj9YWm158nOXtIHVf5oehKaTMZAS
Z1NC8kd8rm+xy5KNwG6aI6vcoxiY9fZIQiE280Lmdmq8xC35aly5fC2Kch/aOsFCqhaAj6JxO+lR
uXX80jgy0X3wksjBZivyMMsq6rrUbuJAEL9DmqCP572HUBTkiGvToLVNsuOXaCBg2qsxLbhP2UR4
tm0e47652BhXg2XEd59WV6EWFUJK2hNyGZ3crNyV9GuecSbdTxapAA0vs4Pk0gXFMH804MfsGKxH
pETMj8yY26Mi9Bd/sJI3qtD0Y80+s+siZZ58jVNQRpNnC/6C9D8xpSfBgGU3elV61vJ5OeoUvFyg
3Hz2Z/NT2XmE0oOdDWTSaaHoJDyi0u3AjpOne6RX8QoLKT81qYjPinn9ZlkKfdsQMoyoJGxF3e/E
gvsK2c0mLbQyjJXma0FNIFsYJ8lXm0w8d0KL5DOTDxylUzyKhpRwXXjkIGOivSntqQwYTFJqyOWx
S7UWgX5qBAzfo1A00rjj3cuztGcypCLG30dkj/1XwgjnjZdYfDk8bAdVD5uMYiEo46U7VEody9F+
VBbbs5feLEZEt6bXQ2kuT6nT7Su99U9uPD60PumGsJ42nj5vgZNSeDkg7Abx3Cq19+bpIk2NPAC7
n3ZNnXfbIVraII7EO4eAhYBivt0YRf41F3oDPWB0yJJIIN9rQO6VYYR+5xC8jdhqmlPvIuqiCWRB
DIeO5TlA8YtPgcyUbQHWBMnQMHJv1SBSuB7Onm5AG4Jv6A9ek39e3BnxnKn7J4fl8tTjmg0myGBX
aCuS5ECyEXgqjPs4Ufcgt7aax4fi7HadPCFf8nU1y/rIxWYjW436wxQPqamcU1V3CehhyUF/qv2P
rko+6FrLId+cviVdYRxit6Vxh8MUnqEHgAY5z6mfU2vbsqzfEx9D4Ori+MdMug+R09wjDtMR4bve
ueKIQ04EFel71pV+Yw4uaJ/a6uRVmv1ATEbW7XUu1E6vVI/Ow04erAlPQTPpaP40uCey+EjKrxki
VLmdp2JXkj4QTLJ2g6VsH1qnZHXBwhH1Oq5WK7N4e5V4SURKsnTC7kBYzpQZPtV795SXmbMzYY4/
4vW41JpqwGl38hmx57NNXjZEiuGlXfwPiK+PZo8zrTb6elfkBEIk5rgjFfRYOXLvmzLiW1Tiahqx
2o9e87m0Z3trQ1Y66J35VEduxg2cMd8vSIU522rUr4lhPeBUvMnb5J2DDTcwCQXUK7C6rLRbR/M/
CR+sBiaRMFvX0lrz7rzW2repnB4mLl0R1EOsQpZR71MWxcaH3PYceIIuj5om6OO6A8avYYsJ8ETP
uNvZgzLPjSO9QGGjQUzmV0mYzbm3z6d+OSZVd+hqeaLOzfYEaoI29DUOP4OGPTLD0Bz5HFxG0oqD
SvTiswDSvubeat51XnRxz0GOzFe3UZe8T7Vwhm28raWdvNaTI8LR7G+mVLEnjPmzIYZDGVUXf1jY
WKXvb82mexyYDqrULT4PU3nwvfmDdLN8y6EgRE5XZaGw3fQMleFo4BDaCfISTcha9nKdqO2J645U
venpTZ7t1ObcpFkzHIrY+hhVff3ATAVmi4Zkqd5CYSqBj1rlHY5MciqqhlTmjn2tTsfyMFdEgRiG
Ue/Kvu5vTOKT0T6atPR6nVR7S3tOtHHdnslkrxw/0Dz7Ouqu+Q4JI2ySuAagJeZcxJxzMK49lFLz
jn6bLSdi657FpNevWjNo8SEqUAzubHe0WkxWeLwDISoCrtlnze3Q+Z8LbbgzEjcNOzF2D61d3o3Y
32iravfFnPS3gMvft43V7PrJqU5qcd57rcifpjQ7mRqSUMZ5w8Ykdv0Ty6s4jMYcvcjFaLaog5uj
NWnmVlZDsueYn8Koq7OwyAidSdsBXzQRfKXuaZcYDe+72u/GwB9a75sDeXCDu9TkuGflL5Xnzo/u
qCGv7L2PVgbSrfAK9x1xawQCRY4emm4in8ig1lEZMlL03bwIMGgAlhHrQ8QFkwG2SPJvUYXxXPP2
Yvp620J+qZvsddY1DEB+Oby3WpIB0addyXq1N/PAlu3K2iBDPW1EQqu4EUGtN/kZDmV1kH0vqBHK
+GKY+aHLoiwky5781N6vHpAMKpLpvaS/x37jHRbXUe/B3Byqbp6ehjYWO8NPfRCZIL5uyq77ojLv
M6tzvlMI+Td0NvvnVBpnp7T8fe0384bmQrqNaqCfkpbzpsOyFCY28OFQq6SJ/tBCo2ra6kYaLayb
rp1vCjH6h7Eypo2bqM95XBhhP+WpcVfXg/HIAtkio+6t3AucbkzyvShj1Ia0S9i8Wq38qBD0nGNn
tnfAwdN3+ggaEepa7iH1E7NFXpVlvDJmcF5FWiaBWrrYD6JEEWybUzD0fOfm6ndb6LtRAA8nt180
8pB1GLzmbcRBBUrzWDY90WEI2AoqD1yr6RAnYRHhuU3ODcrBXYYV5pHYJiY8FwqtkGSzd42/HB1z
/IK4w9krQnE3BSqSbU8gMpJNkpeWyfYDNsk9V+1kS9EFPv3dTV5Vksym/tPQCXKzlroPyjqCu5dX
EVAhxf6XVYcEYG0wR3UXoP7ODxbyuyBp5HAq9XEbNdZVJtJCPOs0+7x2vHOaFIjrgXKEmesjvk52
ORzJhyYZxF43XntidXYdKsGtLKJnZjEFzh5zE2nC2hAfXm9auwk8zDZImuZy66r8sAD7CotmagPk
JqDutLIOYS1sUN0qlpPUDrAVDEGrhsBbsuTTSHaNQ4G/06EABYVfP08VllcYu7RN0uI8Oik+J8ND
Wj5RGqL4BuoXuzV7Yl4dK3KhfCSXeycGaF72z2hN7VvNWe67gnOK2dmEDOMOCJsaMqqYoUfUdnPR
mmkgtVoz3yFFaXEGF8Xz1LWMFUzJVjdrYrVaa4FVoZhMkBkFJqakG2aGz5ii0AmjXg7TKkq/ZI2x
MQAo3S9YGrZTDi5TFwWmJi96do38RiW9uDbCp7mpym8UvyRIJ+3WkEsVJhrpNJMYMAC0yW7J++IZ
yHG6yWF97pQo/a0QFDum8uxg1mR+IUCJOJsxK3YAHNTV8aJXvW3ijZ9Nzh5z+3SvZgwCPvEYIaR1
qh6j9m8B+V7Lae6vpk7nrFJjuLR4FhOhz1dT+ifN8PQQiI5FO3ZAlua74w3d5i8V543c0D6a3vIS
1w55Ym1/wzF35svI0Jsux8ijO4hWe58TWecpUNFOq98YrawPKmvuVGqdyylheUyUFyLp03d1zfEW
iblFD3DYm5UNflrKM1HGbKBSP+mZ90yMsxVY6fIyuf3nqI9fqyrj/qms+767uFX0XA0L1v2pjD9p
mjngL8mPJGUvYWy5N6TTfSDvc9P4wMIyNsfAjL36GpE/HmilbtwIUd/LkeoMw7gedv2CKzbzYv2a
RdVIeabd9Y4aiEgqpoUtQUZ8XHYChSCPeKTZ89pjwx38aW6Sr1ZG39SKxjlILLNtglHkHaHedvEx
r2QBBzM1iitblkBHXlk5BV7VuMCxm/J+xGxwGLRJhfQfs71MtZiANLPRk7DKkEKZo4F4nZEgh5xa
PY9wlRn/JcORqjo7+m5S7oVfil09L/F51HtnRzTD00xvmgG+f+t7vbwjrsP4Zqdtf16S1DnVltcc
TLJXT30VzTt7FM0TDtmKbALzhTO8vGQl8NAo1m+XJR7Coa1isHKATHt8XRcGqWKrlmnCdDshpB04
LQ2u0HYds/4NHlIKgBIldGmJFYnHoUqhYsFwFm/obWiIPvTbWPSYbmpp0STPo1sH88wB4MirVzCc
LkwXK0vON0ZReyl70poaOR/tZkDMPw5XROmUFW2CPSPzP0GVSDfKc3FD4P8n3s8uKYOahSBJfn3r
jwzZOGQRKsLtWow7gSefzgBMb1wHuwRK4pG68ejCjQnzvBh2LFf2ltV85tLb5TbP0r1M6lsOU95D
LzWx5yhMx8WaJNRC36eSBhV9YatmFxo5LVzn1j9DuQTSkUmxgTlpB31G+5RBcEAcojq7c4vdESfC
oYXBFjZNTRhM1+rnLiPLoq2sb2rpLzPiZMKzkg/mkl4NVvct4ZXFnWy4jFUGA8LPzK2R52OoobWG
cZt22GM97TwKeZeaSP5hpF5ix31XeTTjqa9VONXc/u00ARnQ91g2h03e2Zxl7GTe9SDQ0Mn0WEnS
7utS1ejru8vMVJtwzIi5L+Bq4uYCpvxlWGhFGcAf5+PltGusNsRxw6ps69EhqXJcUlltU7TMp5En
NewjBtCgIFkjbaPZUAC+Dq58TV376Al1N+FHAhA9mxuOkGeW6Hc1VPCd6KctRy3uZGbfYTe0AB+N
VL+SAWzCbh1poyxsukxC8TIZD7PUjp7st8vgZKFSRulz0FnK99DDaZswM2BywOSVtfPBnGMIRfHQ
bRlkcfLyxjBuOA52mh4sSx1A7eCQCjrylIA/oy1dvpZdRS5DrHEhPXuvRpVsnMlanpnX3bmLT4Jy
bZhEEuu7rrXdQDQNCYgUytrGyd054IAjn4oo+eoZcKEX85x5zotlEM+Uv3RGse8771szzLj4vRSs
obEwESr8jZJlaOBI3ixq+FYzEwpzLfsEYDjZqnUg3tZaCOgSou3KEncX6ROzyfAsSIyFskVGn2Ql
75qEBRoOX+NMmF8EI41+ME8aNX2N2STHBTdwKB/U3PCX2MmxgRW4ImDqljDzm03CbGZUzrkujHOj
2yFhhSgaJsJLd3Rx0KXmvU1AtOGSC2nMqr9BZ9XsRWvCucM42BzTXCELYFWDXcD8yCYiOFEJThcq
8u5JE07R7goPD8Su0bKxCS2EJ9XZ4Ywws3yYfboDwW4okwSEYbajmp5DD8b5pscY+tpmEyEJNxHh
dnQs/v/06/dfq+tL8bX9n+sg4DPFBetc0v2vH/+XOeu/5gSbl+7lh//Zll3azff912Z++Nri4/9r
RLv+zf/sH/6Pr99/y2868Xhskcz9aj6dwVh/af9u4/3zZ/6jDY9S3tFXYTJ0KJru/3dA7Ys/sKuj
6TVBsJGA5SPr+mtA7aypwpAQ16jf1WT7twG19QejZP62Rwt+HSz/WxNqvBY/duEBRfEPQBrXMKjA
0W/+2IUHyG0yYOrF0c496g1bg5tdUmYsUTKd8ljZh4UTBweBcZy/2FWL2CMTnHaQgY4PVdXrPP+1
9kLjVL9kzCIgwEbWqthgb3Nqp9zErXCvtCla1pwhfQJEnO8z6ppjASvrU1VHHvlorjwhQ9t2c6te
QY/JA3FoDW4fCZCXU3e9fNbrTENoGzsg3KbMfISelp18jshIaiyS3ddD79SVl8o2OWfldLQ19riT
wUJ4LNMC9UuhOdbG1GL3VKi+zoMon26rmlT4Ovcw/7bY8HgAJ/MeNK1/JUJAvxhzql8ASyBKGSpL
7Uyq0z3E4PjDep67Glp2Z0xOf4lM42nRqQoMjLlBqQRNSl3V1jcwDEkwIm0KPTJfzbAByXVHrqwI
DIltl24MNX/DzHJv53r9ZWRavrMai0iNFG0RKsbsWQnpqAD5kdzXxSQPftuRwi7GYqO7Mwnphtm/
r7w0uu36ZLzvqnT5DKl4/sBBy7qPM8JwrFk2V8eS0z2joDQEMZXuVEQYqT456pVJxbQhVsLd1UM+
ULBmfAxEroHIyvwwlCMKs0z0XzTfCtLGJuXCr89mGSPoAZPQp5DYM73CNGVHlyKriyP65GOeIbmK
VbW8F0Oj9koN9rfYl1XQyi49d44Y947uR0ezSIo7iIsLc2ZNZicQfZG2RTZHUirxA+/iOV17hk6x
RZVQnzgQj4/1MKonPxLpZQHccxlbnSQD+pXp+6gT7Y3s9fxRVKLeF6sJnLW40g/IiFzqBvSo98vs
ppc4FssODneOdLX2IMOktcFIuUNFn7bWcINIWr/zG+4VOC1OFMpF5J970nKvnEDzwzz11tkBZYjC
yUk/9p6bflB1ggcnru37AnL+YcLBfNWpY87maFeHBvP3bYet90kulh9ORZsfC60nszgiEdMvbe/K
nMD8WII0vCgUWMcUYNZBypyDUZG1ObySxL7N6/FsJqPgdkSPr+ndFi5F95L09JeDmVbk1mTzfFHW
+NVWU3GMZ6YoBfEDJHtHYgfpydvMeCDfWSL7PI9WHTM9EeZH1yufqsEimqGl+b7opX5fJSTnBhh9
tJOtQQRFluHRZhwoSkIaNOqljRp558bkiwZECBIZG2EMKAd+iFzr/Jn2C4ZpC6k6XoHijLuyQAxi
pUeMzs4Gynzx6Fpt98qkcmiCLjOeAHofmSXTMx7VHjgriGdyTAnDzWV2jwcjf7Cj/ODMBFU70VIe
RVZUmxYHdtCzWH6k5kiPrl1EO7rHauO2eBSjcpIPdUsk5DKpKrRQCIZLMmcrYDn7AK1/enbh99zX
ZlGFXFDQGthVzA3haTVSwokTm6POqgGzG/r+zu5ksY/aUb9AlkVRn98PUTR8wBBcAbm38AbqsXUo
ORu2YT6SZoZlqfls0QVaC9/NqE/u/2HvPLbjtrI1/Cp33Tm0DjIwuBOgUInFnDXBIikROeMgPf39
QFm2pO6223NPumVbZFWhTtj733/YVeo4BaBNUoEGoTtPvU12BkjTkoP323OFhfQcXS5dle1wWGAI
MM+m7bfDZLlE844V04GZSdTSQeappHQ2rjvcR8tsUFFmeBrlsFQ45vDV8dy6FWfwUOpziLgiQGX/
lGoZjnhRtOhBkgPAcgII3yVhi1opecycUSDw6EQAwwNNbJpVr7kVkzBQxe61WTjWoevMiWkZNsbX
Sa9kG9suUX/V3QsTxWmXQrq6Ep1VEDdY6OICQYDwHcKHMcZ3civAMNt9cLk1LhYjjh9bx0hOxTJ8
xpzR2nMjLv6cdsMFiFnCUhrTU5dapQ8p2D0V0mivgFWa8xS7/gclTPILWDo19FW0o6pLn7NocR2Y
XaM/QgHW9hbC36ANnWpLua19XexIno/YPr0YerNeLnIxnjBVSe57TR0YPyQZwVgUhTtAxIxIh4gS
Xw3jK4jJHOLQ0jwA8ulWSB59GZvLZp77OugmzTlD2gLKO+VVfEny4shCgxrjKnif8s1CfJ8jXe5K
CIRr1Eh9n8twl6h1GpAKsVxlg24E9UCIDGYDgmJWKqXhEVm/tZqKFm6ItKOLXdjnsdEYa6OGIJyF
6zZhi591BOPtcR8m6CJrWvc5s6xkU5SjeMLjItxzMhEd12ubWbPMq4We7K0m6exY946yJY6nuyTx
Mz+YBtNwy4i663wenftoJIxUFY24jQEgeDk7BIGfFWurQ925aOfmteyWmdhqyfGP6RVDq3wyot0E
d3Kz4BnkaUyBzFJomDeVbQKMhcc7cRdrMBawd5El4nrl8XD3p2l0J00KES+VTT77YKD9dRMBi1Ux
W5oEbTsjALBrCXG0Q6d5d9s6Owx5rHnGNCon2rdgdsriaiCPet+b8tlsmepz1jLLceQoX7PeeiY6
6kWE8p1cjGenmm7oGuhOFljCpd4Uh7a054B4kjuQ3PpYx7Z9N9SZ9pARHfmGDmV6xIP82RlKLDBe
QNfoLo5EsydCIogHl+t3cNso0M8ptcrI8hYtE2aQkLFkBKuRJMHUpr2R4ySdq6ZvZkLLrPBdJjNw
cc7o231WZtIytsqwDH5YiZ3EmwACbVxXiK8bpXquOUCpvdZQoikE3iaAqDjChm03q5fhhiIvO1Oj
uWR0l9jPDIyA6RHSp1ch3mdndkwveYezQBzuSDLPoepN3bhAxI96M/3ixFOn3JtkD5iBGg8ozysl
ySrM2BN9Uypi3uEjX24Hq3vsmGvi8x7lGwELj2G58QjyP+6tpLaRpfXygr+5ctNtykmsKEDTT9LV
HIT5SkXnE3HLKPag7KlF7sslzoPY0uwjN4hyGyOzP01Mz31i6uYLWGXNBfNqBKfMC/o4GV+MDA1O
61oKrviK3KlgdNAC1nJLXzTJIFVvz5LkQCIkrvIzSoKwJ9AH4JlunyQKlD0kXhnXxQJhHNF9dFgM
gltkGILGFlpy7EV0sgAKfGGr9YkJfb+ZI7v5LHUkvESgzDt0BXRYfYfeIxLQ3JK8CsbQqHFfIvDd
68O683FYcfYSkiMoqVbsaPTFuyEJafJroh0nvFUcXf1iORgYPHZCEsP5Jg27ycz7sDFWZzjGoQlk
5n/oVP9NE0fIMDSm/9zEkSlUfn3rkzfZ/9jHffux3/o4QqxXqjAkfQ3BFPbS9FG/EY1t/ZPN5hW/
Oyv94MakfRKIUTX4l9+btd/pVOITLZxl4q5K70VnqP4dpjEayZ/7OAPQDsKW0NDf2f9GfmdqmMpw
0Az7qoxU4NKEfQVfB9v3/mm2slcHw0KvrpY+wCrI9bMU4sA0gWs6alb7onfunMHJjmQqgc/J/DQ4
mLnYikVZ2sKWFwqHbwpNcpYrJ4j6Y2tgR7HhtNRJlmQUUbsKjZclMdV2tWswKbGB2QsEZjhZoDb2
5EUg3R6bZvBTzCd9wf2yIW70achdLoAEClddYbxupq+WUosNxCdwf5XzEOJxe6iH9gkbkRon7EH3
UvywgyK0HzCZvUkZTA0tL09cxFNeJe9sIR30mFGnbWnXKoFakCf4PFY99YFomyeLEEzIQTa4nMLH
YxKmUZOXYjMo9qFtnUPElC4IOx7N4IZB1BcYzabZO37Ok2dZPEqSNbqNaPil+cAjQDJxz0fgMQjn
UCRdtwlb/tYgeA9DbVDrhUwxJFkq+xQ90bbKOUCtxuK/Zsb16Mg+WH8SuYHjJa6EzqOthfTMI6hz
vQ/MXl2uoyq/dud8CPKOl8zx4j8zjYa3P+paIBvekF5b2YYY3Pusc6k57bU8rMr3uWwqfOxazTfD
mRIim+GyEqP7FuagoX3r3oEM94Fe5gR/4V8Ei5roN6NnkIeQibYVQetd6ITZiXllCOc3X7Y1eqE9
5ATGDh0vOpr2wVGVu49FkjSI8Gaj6Ta1zTpQZ/26GBwyg4R7N9IJ+zi1DH4hzOsh4U1FaWYc6BTc
rZrKblNFxXS03Z6pdb2uop6/C2H/IulU+KdVpwX2gO+iFVoTj4mFBbedObFpXrCe3xE9UX3A8ffy
MXklZJfvfuGfUsx4qJuQl429Q3gqMTd+UfCUOpWmSLPr5RwNq+u3Xfv08X0XkYMbH2Wx3zO32RLB
BkDntnz1K0lEWk5+FGr0ziZnVXOW4zXL6nRslkq17gUYvfN9HvOPSM5eoV7x/U/omqkrkgvJ44IS
fjcvfPMjPiyebY8hgrJiOY9pSch47Z5sUs+xMeEbdtCceA678eNhlDWbYlT4q3VWvBbVqAWhsJsj
ShoT3JlFm2ddeJxpJm8KBku+hm7AG9uZqHqilLYQkrSgzSqxKVqDRyrAdsco7s5AFacdEAtxaU2Y
QKBZtCCz2ZS0iqdkTEvu2opVhlUBc5YyO3c0NqouOAicgZucmiQPUPW8i3xIrocYJsO6vWBmLnsB
EB1MBnR+CYHeqyRoAOaJ3cYgQeYYxaLcTdQwASFVbMMMR8WP7xZDxTWvpTxZQ7geISyBsm5cXx95
Nh+rfLGzZUtmkbujbciwX8ndLTz7fENAXA3hhee+rnC2+HViLOVOnznG3IH9bSwu7M71a+4lCqK+
ZRmBLcHCStXwhQxmZW/GfFTiUSgTparsQ5c5PB6OrxRufAVq9k7/iyezzu5B85r4hd67vlaq4VG0
sjzZiZguzMncOWP6SmzejBvsWJ7CTMsCCiRigxah7COTfVrBwT/NduxubYtFVsInOSnwx2BdcnzZ
aQEQyeGATZaXTMaOfI6Oimril6nj4Budbvl2L/RN25pQwrSuPYwWJg92iR3BhLPVXlTQOpU8Wq3Y
YHOEI1/dR7BYKLXrGEUyCTzlvINiqwVY+g2+CcUbiyjewihVdhHBbfsCF8l9YeeY6qxnE1RQ5irr
ph0SawBLUO743fGV2bIkUKxea5hs7axQcTyT/pxrZ2QxNVMNJT3h+6tyscE/tTzB6ZkupJ2902bx
aGZ2wMezxtEw22QFv1KqfK8GXMbAYOq8YbDAEbg2WEQPhFe416EOqBoEeWHz3tj860KmRLciJIgS
zhNDyZOt2rZvDqbkQUmit1819kNRGVWQKfGVMsoLe3Vf1kfMI+ZkYg6n5F2ubiC2C6ylsBTGcUSx
ICnmy+fMZPzlWUDqcDgdtYOqtLTpKxPvaUNj55qEfWl3ZpTlG3IB6vR8jjp5JG6Lr1AXYRR6UKwM
GaQCKn7MOOoK2R2ZI5DgcqC4tiMp1p+zXgTQ9NsOkm1cq77VNMqxDuWL0lfVl84d3qC7VtKL9Cl7
dxpdWVAYKcvS4dg9jdB522rrFhmcZq+FmeLXacueT41B2URcRRtNdcJz0tgWZYtKf+wuMi127EPp
Gl2xJ2evV56IOYV5IqMhP4Wxq8NLbXPV8ps5a5ILcyBGOoi0MlRuSkn5ENvW3Q+l2NW/mjWuzh0/
KKjWuoaRmIMC2Yaw7v7qQJG7irYYVSv3djLThSzxe5Jxueilc0eyKdG4PbvOSFjpf/66v9gZfHtd
rDYE7bSw/yVywJ0NjdS7Wu7V8eOwYw/qSfalHOE1THX2/uev9ot8/dur2YwDNILfV6+Zn1F4xL0K
xmml3OczC2StBNwMIDQCePv2uf7RVPzFJAet359OcjZf85fxpf36Ywfw7We+dwAmSkMXAw5cq2gD
4GX90QGYNAdYtOLqhFGKtcoJvw9y3E8sXboDFyjfFswof9dT6M4nw2DogqMEPgzYUul/pwEg4+mX
jQJ7xWIwZAj8X9c50y9LKEupidTFbfazNcdPiNrKemPVOqo6xN9ofuy26Ld1M1/llbaMfh5TVAnb
JTtY4Fg8JHjOLfqiPoWJLPDFh8zqY9k8fp16VBnc7ik4HoOJPOqvShxI4Kfnnz/cwXRkT9syYmw+
6wLD0Mm1Zo+HmMBIRMGQ9lx42JQsF3lq0sY7krrRJu3bWJNh2qOFpJiSgMtdsXNyGeO28QBc2rOJ
vFLCW3Ug+slMdyNvDvFya9UHyIDhgRTs/qZ0I5yhuuRzajfKU5IX3D9NaXlGM5U7UIcoqNcGpXa6
+nKZOCSKqbsenOgL9CQ+JJGzHqGp1+z1bOu6GepfU1e8lOp/R0Doe81UYfSE25NXKWidzBqBnNb0
5BkvvHo8aNeWPgkvsfvzHidnT2oUGapzFw7yXCWW1YsxAR+bRT1NXAIAtOUAEDqu/1OcCDc+GU79
ROIV6btqPx2pnz5TYB9W3M9bhxXZnH1uTGo/u6puJ/zjnrOc8qgmH2FDboTcSkFRR26bzxK8m/Qw
YHQOeTK01rdARLzJr3abSd8R0yku9UyBegJzGNs9N3+oaOYe1EmnJlorfzwR9S0k7IlBCNEPsSje
u6W+gsKyEA6vHGExNS+VAY4EfxPKThLiYaDXeTBSBl7lI9nUzuKgQOubS3QW7ZOROXdWl1S7asII
Su2g41thZmOa6apI1S0nQN15ny+1giWjPt5HRhgdjYIhIyVKV1xrbijfFNGs5PVG6Ne9lusXRdLE
KihoPNGcxM0S4Ap0qysq5Eac8SBZVPpNl/eI3pyw3Oh6TCgiO8dLSa5HB6/A0Smmxt1hkQCMGNWq
SoEwV3DXTMfrncGq4F1P8iwC4iZJuFXMexv/izOjsAQc6n7YdHNPoZegpUEUmFXVVnXasF0JHOKM
IGyzP1Tg4AhA0n5+V0pzUXZOW1Xh+wxL7DyHyIUvOGl8VICJjroXt+66SNXbjyvln4P+Lw56DZs4
zr7/DPdcxkn14yn/2w98H9iLT6uTzGpgZOPzYq63xm9Aj2MgKF/n5DZn+sdJ//s5b6ifXPI1MN1e
890oSjmdvyvKnU86VtOczHhF8eOYrn3nK/xW/vyZpFz9tVLAn1FdbattFYE6aM+KA/3g2BOOSjTE
pWkeSLWvw42WLtlNvDo3muQZ+fpsdo8u/da2XrW8jJpCfAihxrlMSe/N0qmfDcI2H4Vedo/RhKr8
hyf5X1RrvDuNMc0aLgdOZq3X3Y/vzpXsBJVRySElAPbFjI3pqhFxuapwsJBoknzeuTUAUFcTCfIN
3vyPHpZYI/1yBaJ3NFfJP3wLe4Xc1lryx2cTa/BzSZk9UF8/FU0ICW8kius8c3H35zI07ZMmAF15
TJZ9Nhkucrq0TT5PS7l8sSUw/qZeZv0Y5bDVyZDN0S20MmMuUFnXduzUs482xjyEY9Gf1Fqvt4ao
oYVDacZAuSCk2hi64jLWZgJAbHVQfeE0zQwRywb7l0vBvShjDjsd/2tU3Jb2TPOJYKAjHH3pnOrM
7oyFlOlc3uD8WW6r2eDCUHrdwa+7gT/nYwmT+jpGvo9K2ypID+w7OS1t7htLg+TetuoS5uwUBQqq
gsGjQh72ZB+HfoYUGdSslzOiinFAQxiiRKrjEva1NkEXSFdvCxpO9YQZerix2rl/JJOT7jkRzDI9
gck2mSoUQXtHz+YtFHJrN7kQChR0x/SiltbcuFJJrwVBouomjRoBpVNYWOXguImYasINQBKcsR30
yZm9hK10g31QBFDVNFbu0eP0d6qsyHbt7VEeKHNyGFpa2d9MiXRiX9XHDmMfKoYtIaQUysiXMx3K
s1WrCiZVy0qdbQWM1ChZNclom7y0XSBS13AR9yYKSIWe0YJ0appPdjo7QYzZ7lVWMuntokZr0UwT
jmSs2k8vEhPZySnKpbYfzas515TdwhzjSxNrwxazky2XwbBhp7qQ0+3iZtFmkMkeZOO4pE664SK0
X2K7r/dLIZbAzeseZ8e2WrbwWCMYaCmgrd8M9LP+gHXPzunRANArT0dayvBBTzW0WWOMAgpLlPir
wUT5knSZyfSS0i6+Qh9aqboLdUdjJogQGRI2zIuHhdbYspHmgMCWt3GkpPoFjEVJL4zUEwoFipdk
qr3GLiumTXrYEGs/haXqOXVPj5MCenAXtukO9vP4JcuGYtUbxQWBFjjoDOK8a9w2eRmSHI4CYgpD
u+y6NjwuclkNAvV0eLKmJIJVQ6jxywKZX9LOy6llVzRK/1aGMs2hG/cNYpyeXO6gh3iqBFXozOfD
DAwBDGn3aiAHZUluSU6dZ8LaIbf5QEGYO1VlW0SYFRGsuuqa2txDg2OWqx982fpE7Yo9CewxV0Ff
ntoYO2tQLr16IRVj1fvMOUt9EtVhxhD2BkB9PQxjPn+GqvgyXaR9oUksvfCHd3k1IEHQtDg0bxkC
qmPQmF3YedD9u8c+sVLDawkzUIIpshesF1AMY65TP+P+XT2Pg+ZisWGCZG7ikY0cMO+ZiKkSk3wV
8FMFAo/WFBduOGJgVWt19dJ2uWtuPkDWj6Pc5ZOjWk3Bzwi35BzNlH64mBJtecg7vOArP6M4xpNr
CmGYLhtuAnV+MaUkT+DoMMDl/5DwuwbraCZDBwRTXcbhqYyQh4BdKmb5Iue+YOkgMTsjPMW6aEBF
B8ZnQ6VsR9mjH6bWr3ET0vLLuYyJbGDYAKLdqdCKZBJplwam2a0HCSS/bM0cFStj0MrcoLgdsMyw
e80DZoyLE8bjUHFG3gFrt6iNQ0lXMyBbbeHELroZyg2ZD/ZnBeoR4rWkzVwfqLtUN1gfzEyb49lp
vbixx+dKVSrsw2e32DgWcGJIUgUMEiCpbOyq107t7/VptA6D66bmjjDK8VriLZFvFHRJw85hbgER
y0lAcrTKRQ5qpoy9JQzlWB9ChC3KXJ5i1A53WoYmyrNJBXszmQED7MO63FZjFqRapWAMr5rTychT
bJLjIYZqiYWl1xOqe5gapzYDZ2rVM53hysHVtMXGUiJU7jLumYWP7BLg7CLM8NSmsNcBSIfwV1Ya
9OO5t4HkwPdnTr/BStsN53jkI2U0tkyBMaQo9O7xn8LxvxkTqjqFww/lzsom/Y0lutJV/+9/9wAE
SfJj6fjbj/xWOqomBSIxtzg/mySvfPgqfDcjssQnzcDmGkTpGxDwe+moabgxqJggmNh7fnBEfy8d
VecTYBCuslS0f39GaP4MpRG+tRrykhijkQqNYaazlpY/lEfUbfmC34F2C8kLJVS9FN3MRAQowyfK
wD3VRtReMzhs32BcYOgTZ8qN5jasP2y0mCkkjunn3cRcSpDhuFEQzPRIOgNzGjjthOD3WErEZEkZ
qgTuPTDZKjHQD1U8ZVtpMHRACOyeNIWQh9gtx01CyOyuovm+WVJ9weSMaiNWFfm1XBR8j2JjNC6V
KSHto8zhM8VdP764UT2/2Ho8J2CYPDb8ygbOxDZr0WrnojkiPqhfsaBJXxDyz1dKhj2i5qTzM6db
67uwNmwKwKX/OrQRIuk6X88MsSqbrWu1V5LEIzFeu5f6tGR/ASp+oJV/oJkfX4FF8g7fqgDlI5v+
56+gIHQ0VfCuvl1a3T2YujSDWptay3OrCWBRB1vA2Ucr3CusabQT5Es+GpqzCjw5E7ByY8KhbNus
Di42ZOdLaMbcVEb1BW9G5bHkYrqJ1/QqM0nTc8nQEAZM3OcPeR46uyhm8Cg7vbp0nPa+x2Rnb9bj
CT6HdqfF2o7Zw5e0gRL6wyb5Nz2Ba/9UlvOhjRVAXTsfXLeMfzFnrh3LiQCZSEOrivBZXb/9CE+k
J9qb6UqhNjwQO9geSAlmJBOXiDEKpV+2HW0Mo+hJvNZECMGZMMfpcu2bj2Olm7fhzJ8aAg+/cmeS
ewIH5TKWFqMrSFpXphM+EKep7dwkyR8yfAJ9i9yNfVKO5S5WWmUH68razFXbB2SrsKb1XgxnYtG/
lJY8ja2m7nsZmnsum67H50nfJEwXg8lk2CZqN96ayXNeu+kRke34lsRA0Xmvj291G+oHe85bDESg
lGLhN/j1ILd9QsAImzK7gPvCZuqyZJ/pXwQ4QktOXWthYMhQGyZZVMBzdia5SfDyI20sdXdiYUqq
UQMzzimRa5d8S4RAJOk5oszmNDu59jgD+H11uHhXTXSLkaBpAgZOi61uS+yt9phNJmfEOIvzcA3X
cUp1ODezhg9HKg4ZI028pHsEWqnrw4nRbpSkny67XuWBakm0JZCVca+57k0lWxjnjt2jEUPXdkk6
RCDWur6ANfwXIcO/nFkQGaDoUs/ruLuA/eMU8/OG0SIIltFgKzcxzLjr3iUFVcG26gG3TPRTNmwD
7G9YO1TVbyOiO7/rYbD6xjjHX9K6mgiA0MJj04vm0W4M2JFxLqhi6qfJXSef0ioQJ/JbsoGixUsH
sLCc7/5UhWHsCar0gDAZjMuLSruZREvTSvjpyoIg9wjJeOJzXM3bwTAhH9VIjY4oz6hbzR4xNOQw
uLHpNEwXDFuX649lW6eUlUmCxVrbMPBTa3ChKnfEk6MUtO7IeR9LZWkYdifAn0RcYEmo46D8Wops
11QtmhqmyBJNppTWzpjxVA0yKplLRzTVXyWZayto/Md5tT5+IGvHFg4qBTQK9rq1f7gyxobJVrS0
4Y3W1sDAPfgGRWKj3KaLyydQU00wlOqUu3ROaA5MLB7qc8wm4mnnEDY7ezp7UOJF0IBDZEP9kg00
lp7bjDCPa7UNn3FX48MQKKgeGsJitn9+9vy7DwAexNuyANih6fyyfkrK4laNI/smt8BvSc2bLpo6
QilqhSjGupJzJmxGzgvN4oiB1akEjPJrqILCPFNHOHrsPSbY2oyb62SrMMMnxlxaLcNtkzvhXW43
dAhxGaFo+/P3/nEf//LwMRkGcNI0KDPGr+99LNqE5nU0bypp0tuMXRe+s5pDZ09Dkj+oS7Kcp1M3
Xeb2UO76Ym0NNEJxDk6dDMeqYLw8ulp7yM3VWQKA/K63Cnfnjgb4ZdvI8nJxuuRka3z+sXCRNvXd
2L2D3NZ8RQlioZAuXCyLM0CfW6YraYxZubNh4zBJxKdo0sDqeynDRy1W0z3Ef+eIkwdsBKYlW3qT
CMVWPD0T3bDs2nEID8kcI3crbXw1ek2bvhL8y3mFzSGwbFdrarDoNSTcKntVsfDpYr0ELMnq+pDj
zvpc2mx1agJyktatF+IQ/KUNlRi3PZyKrkg1owWdWu0GIsQsGXQyo3e1Jv4i6m7ZptCRnll5w1e4
5+sJsj4abJCOkoS0c0MsPD4Dk7ybOmmFN2tFdgeDD22oAU3nyS7SN70qoERG8XTIRq1Di4iQFmW1
doqnsQMIyKcLRjDcJX++ECgSf92GjI+oGdbgho9y8JeygbMaogTx2yB9ag/LEpd8eCvr2ZyPU7Ob
Q/pDG6Z+4kHwjLaUYvUL/lQIrFXOpCAqsCkizxb4O82PoHCIA+dCJJk/KGlSAJeU277BlcpjJ4nX
eRT5Pcd//6qNxvBVJrahbKCyFfami7H6wZqxzM+HsjcDsigxS5yMkikNjVWYb3MV9qrnLgXQRaRM
m3mp7cNkFPcT1gSopeOOQB1FS3bg/8q1zsYiN0QK+aUxuVZYXzFRnLCVJnXpdga7Fq0rVpcejrt8
M2PSP2KouWd8M8wbouGAVfT5Ua1roP4K2jHvJy5QmbAhGA2xWFMNCybLcew3ckyLTTsM2bFSU/AB
N0dgi81Os1saLa7OtQnDGR85QfzAPZA8dKjHAaXqUWfQkBTpYwfLe2GG01jRHsswgaGkzmngdXEd
I4+x1RtlGNcCp52qo3CYQCldgYXKsmYl6DFEn36K4UV0MuPIy6uOB4XpC38Oe8k2gAC8hL5jdYax
yeFi3EVR3x1CYXDrLGqqv8Y6Drg+NLo6O1NI6qL8cefrqE8qJViA214LcnQiv28K2Fec7MJXMNY9
ReaYHcmIyyD+Y0Z5hptDXPkmPkdParUkDutJLtdpybTFU3E8u2mpLfeYTrr0l7hfvGtklB8cuSgB
cnvUtI4VqtB522UM4IkgS4DMAZDThigfW0yX8d6mykQt2W56+BuKZ9ah2CT6kr/DcrphUoZlvknZ
Gnpjhn4gR51/YdtYVGuFPSJQIoXc69x5uf7YSP+MRO7+PI10tez74cj5l8b2e4Lp/1Tv/+MDLhev
ycuPbe63n/8+B7fWppQUBAT7H0RY2sjvTFj7E474BNpRr/0yIGHaDcDkAtnq9AE42tNp/zEgwW9X
x7mfYAVb0/hPf2dAov18Vq6jGzzydVJ0uDEtff3kP5YsgIcZHnmT2GfT6nn6TkjEJRaBh9RxNhT/
+yIRxw7iNqv9SWVtpnr3F13eyi7+sWr6eAvr9ANGrmtoHNs/v4WKKJXawR5hX7WzuAiNpxljpm7I
grLYRpmGbrlv5IZOtPSw1z+v6yjdketcBqP2bEC3XGI4bkp0zpXkJZWDWUDm1Ta5HqsbqWGS5onI
WcE4xRP1GzZv/CUIiXiyIHdOoUeuf5wNwyO1/r5bql1SANQpwWy6ON6BuRJDbZ1g/RF4tgjwanyM
Ol3fiAwrUb18mJ3Ma1kT+wmlSaFzAWoYw+DNgh5zuTYosEnrg6aKmw8zTvhMvd4FXXaCkH/NMFYG
uEx4moKKw3KfVV0Jush+Qa8EYTdVPdfSfcPCj6BxPYHTnKzyzYBEmkHLzaRgOtyMbZDh2DP09WdG
+GKX5PKKjLYzWMOvSyT9PkWybo35zlpWG4G+zz1MFN6KCf+XLGWyMIvxrTSiTUTs16nsRhP+cu3X
VseLLTjQ65dRkUb+P4fLfwWbGYiQ/+x0OZRfkpdfPLy//cz3kavxyaas4f4F6Pomdv4+cXU+4VTn
siR0jpWfmDVMXG1ykaGoMKYFWVsHod8PFPsTboxi/THOmw8T079xoJA+9Mt2dlTOLH4bU13IYFCH
f97OUuviZIkn5RDqy7TRmzx/ASiGqyfh+NWUXIM24EE803xKKgA/i2ggrbgtzhcrxBxE5UiCoJsM
zBjV4nIJpxInjhTOQeRm2HrxU8VmQqmyLcql/FyYIAiC2eplm4xWT1Pa6ueLmtPcZmkRFfh0MHlL
LOcWP978pp3kcCmGl6JqQcy6OHvoB9E+E7m7Bh4MOaV3JurpBU5EMWEtolCwKXqkhZvJLfWJ3YuG
M6itJnvFW4fdrjNaAXnW2jAAmkNLMzVTh1ralefRjCUgnJNwMTZmS6BTkOPYpfuAWexsZl76rnEp
QVfZaHzSU3twAh29rY2NTM6+z7BbeqtBH58r2vkLiY+3jyNVdwZ7aHxziqF8pjcxc+xFo/ksGbPm
eq5TYmNjDacNoHYMDuR2kPB0LUnrOSXOiLXmVF2Z+lyh9XUgDVHajjYedEl24ejFdG3kuDjiEr6Z
O1IcGSzikcFJN5QS4MWYd6OW2Fcq1G9ym/TibYLzCZejcK7IganRzqX9Le7IHZdo1wUACzoWz0R5
4MKZlUezJ+YhhcV9hscGrKSlU5vjQE5F5onIpIBCpGefHFFopd8qc/6gF7W8lQZKoZTEAgKbskF9
SuwsfOqVejrUo4mRROkqp3EB/wfjIUUYcecatLKcyKyQj3k2141vukV7GsO2OYsdZ0AT5y4pnNxV
ktkRCXY5GGUeQJQuU249FysSbu7hPFcYRHAEy+ylmdM8iLqpMXcQZAnk0dKx+4zgGPHTyEC2Rk+o
R3C98Cvd07YmN3Gd6Y8aMd/X7mLyamB+7a2KS8pWNrFxpmrpILyY+e2egV/UeXNVb4jKafaYrQ83
EVJL38Iw/lkpo/YIadz9Oraj3W4tQcgf0Z2kqUCFb9wblzTwESQnqhCsRrp1heEiY/LBCVGhuHhh
vxl1pburnILmRsD8dYE6/aagZuZ7zO5HtYuv7Cntzjt1jo82jZobqMiKUXSVWKtbaOc2LNfqztEb
HHbaHla7gk/JSa0i45yRrKyCuCrqi7S0K2ZkY8Euf5pKNV1ltt9maRnCTyZr7rcBW1WqUU9IhDvM
qXXTEV4h8lP5LTkCLWQP0XyUoxcOiwhvMDPU52NsxljwjtaV6qQZRlv24qOPJnEaMO12ojUdgg4p
znMYujMsoXDIN7Y03A4DR63ysQY1b6U0JarRRO0x9ZsbPy6xfMEGdDr1phXvjCY1va7qVotZcqXd
kBrEIQPbb9kvN2E3Ce70YcjvJ6aPxcmSvUDSnXRL7m6MepHi1lg6cIgcYkFpwotqlP0o2wcjx2pA
yRw320ytPh70djgOUWmdV3Xd7ooeBXU+5cuulsV83VSOBsKbN2hmzOjgzF1+jbdce5OP6eQbWZps
Q93NAxQYRMLggFiE2EupTXyBCMWTcL+plxK8lo+0f/wmXWl20g6bwE20ZyuMYVqlyjFNNU8i9Wee
hx2NbimjPzWd8RDjOncIu7byVR7LFqlYd5kI49mVdbQZGb4FBKEo5ykernt8VyegPfFYqj3ZzBHe
Kdn8pe0GjIx5hmEvztJE62dfdTOxFV18P+kxIb1p9eDYs30onPoN6V8eMJu9EeCEmxDsPdLbS2tM
06u+KZ+MVYWizWewmSExiOr2/9k7kyW5jWzb/sq1N4cMDjjgwOBNou+yTyaZnMBSpIi+bxzA19+F
oFSXpFSUqcY1SclkyowIhMPh55y91x5iG4P/qLq1Nqd8ZWqwXTAWB0ztJDMeVCTS9eQW5AsNbQ2W
NAIPEIv21NjtGTc0YErfAwpmD3IjWkTZHNaUuVFoGU/gC5isM4qeX7F3tjdIwuXO1cw8WEZnl2/7
YoYNc1mjLx5N/PF7JsHG0lNkNU3lfDvBZQ5YP/SxibmpHupp8h/tuUEnSSZZ9oAZSt+5fvNZlaT2
pXEoznPu11tSjb18XTkjuRRDURv5ymP5PdPpDzfMzcpNPTrWdo5bUnndcLrNxjlAtiCad3PK+c5w
ZHtr+fGDg2idWyKNsL8P7W3eQIZqCMl4GrIgeHCsgCNuT5fUKU24n3xNfmDqTWrZ0Vs2Bm8R4OsH
q1L63hr98RxzyH10Y7946nWZrzvbPbXgBZD0sHQSw3zvtBDLHIMfEWoIvGy8UytVn/QIvMSjwF/P
/TjtmB35O07D2RdA1MUtRXDbz4wMOkkTpOlbecseY1wAXSjQGVFePzp0nTeILdKzrSDGOVi29/7Y
Rp9klnFv+WWLHyntH1mEGe5ZM7tPnMBZuYWrtvBYoSsJ817JVm46K6HZPdv2febZ/sboJ2BbWnx0
hsbd1vBInnJIV4jilfUeXUW9a4m/AiTFsSBbcS5w10KqAkCCBaiP8mkv0ImdjYG4WqfV06Hw4vHo
djwix3R2jwZSf/G1OvpvEf43RThdaMHJ8t/rEm9/0/9z+q1pf5u+rb1//7U/im+b4ttCfS4lWrcr
hP9fxbfzC91BG5z+MoIGLvevCTNHZSJjFFBeB6QQfopvjsqU5fw5SmYKKQkL6B/V3pzKfzgqI0JH
NuldE2/U4p74/qiMVxTfUu80B5+ZrE06ONbFiUS49BwFg3NmglIPTyHqh1NpxlF/RHbePUSVMeRU
boLM8aYZALoSDYBLKehtyMvc31Y1huuQ3ZmTx9Ca4NkK/Ed+nazn0dC3IQW/jcmQxJrRKpwPbjG8
ZYJGGX/qeYB089Qt45cWExjtMch1RUVHrXQzRDykuwPgWSaNvZY02b3EE48tXMdVV3XmB59EeRcd
CPt5UdBFaxusctfOulvxi9pV6M4cNd7mIycIQSjRYzBbFLqwLr+0VsPziJPKqFdDPjdHCEO0+eSY
Vm/2gAVr1vgNZ9ni9louVLqEuDYq+pXvH1UdoTvmSouhOTrMtr09clC/XCd5f5xh5a2V3fOLraNb
iwfGQp6juZ/774cE5dO6WEZKKu/mG7eiQ+dYi9PNRJrUaZxhg0Ezchae1sSoML9qY1xrOi7tfhWR
tgxuNI4tMHAtQ/km8folKS40XvueuSsitRxWZ2+LS+O1vrnXjqCbnmJn2wxhLz4010FEipmvX2V5
NN55VWZ8mSMN9gZb4SmNRtqlCAluK0ix++v7Y+7QHFnZzIYYKTVHC9QeZkPQIGvlqkLvFjfdvu8R
u5deRQ1fcpFbb8LNPA80UFUXW5fQEyTHrfouTfWFQUkUHYJMpPPBbbvG3kWOAk9ozzYEuCSgtVIY
zOswFx2HRiJPgk6/jGlDEgFA/7s7UU0eQNkU9Xvf5awFr0pPWN2oBMqFMQUJJd4uaK+nEr7JS2PY
2VNUNdNCAmovHhgLWD+DtwNz2bgbQpHtU+H04TmoZfQ+mRYHL3K1s1HxZSNfoq+adg5+YJjN66u9
2ZmttgAe4EviVWqsE8QCuAudfH6d0UbtcWj7+yyz7C/aBZO+Dpo8R0REkcrz2UpiLA2J2UW3KYQC
Z/b7rNq5pWvhwJMcF9A5DA3T5W0Xpu1jkDPPi2edrhm+xJu5M6E5uagE1wMwkEU7JXZNFtkvWe+l
+9wj5G6VugvHd+zi3NunwmyfeOJ8cLqsv+QOZyhvnLCwDbWOKHXQc2yHNLvJw4DTRStcdxd7dLul
sqo1iqviFAaepMhDQQxJMyvvW3fOH1rDdnd6mvJ7J5bi1IeFvxIgOhg8uPIwK7fbWr6cT5GsecCl
lrbXOnPsd6NwzZWTT3gZltH6So/4YCTh72vkpDGLSoPQAHM2bhdCB5l6QUJAo24N6MJ2e9NTz96N
yFzPhYH0s0M0s4UjSqPJVOj3VmGeBYsf15eXjMi9fqM5SX8YmCDdBEKEn6YmSeDPlcdm4qufK87J
BSGbGpNBCZ96SshPXJv8zttc+9z0BmKZ4hCWef1U+6Bnt3oQdMYixhD09Ir5HeAJczsnnIkHu2pO
s1mVL4YLjcKqFSJuCGUlzrywMo1tMc2iwrfcgdNERLzluA8wVrNRCIzSGm+t605nHVTlQzTOjJz5
/DYwr3lMjlVeqnbjztRn0CqitTG5S66f9lLSIpawQahmfU9/UpWEYRZVs24yK3p2FUXYeswgLlpN
npwHOnTTemjA5piJBQzcdoFiNP4w7iMzLNZ6yt+Im6yBZ0zWsQzI9cKKgiAuBSq6Qroz73w9JkyL
CrTra5QHzT2xmXDnFzNriV/xwXLpAmxatw9erztLnXbBF3/M0xNzlRZj48z043oXVS6b1sjJ6qXR
zEVcw2RbHRY8LaN8njBIw3EeM+SGxQV1lttBW4/CWV4IL9KI/rjlnXAgn2+0qQf6PUtM0y1P++kW
JHA5bcqFqtCCRLhpyJT7Ggz/3+PS3xyXOFguUbT//rh0/jN48euv/H5UAq/oMIoAhoHqTYLN/j+/
njCvXA6cCgwxiOVbJuu/G/YkJ5Y/2ogMOnwTkRZdSdcTiPf+0VxCMuH4diqwBHfTEWHsRoYuMMMf
DXp10HlZEo7uObcqT6w5lgmySIWeNHktrVFhuVIMAGkSpGCygtuymIRDpW4CRmBDJgn7KStr08hP
bevazbg1mHVLEE9BjyG3twd836rGTXWbRhIR2i5vBpjwt52ZxoyLJ0tpuZat4XYh2FXoGpdB1u2n
NIQaKGMVrIVlqLWMXLXLmORwKqihEFvz9GR4M2PEGQAPJjEffz5oMFIq5r0lGtjVxSgyZ520JjWF
wozXHrLa6+t7lG7pU1MH/mubzTZFXFv3C8F3SCpI9w0ZceXkf2CHlyUvQaDwdkSEEO8rurvosaYi
39pl7N2lOPqg0yskh36pP8YDzN6ZEmdX9hO6uCZqliapRaJNaUc4zcmQqPbpnGfHBADRR7d16g9W
a9M9JPnF/1T63qdsnG49syGHDTbddORHcDP0rn0XO7F58JnlIrVeOH20qfh/bL9+IGcxYjY5Team
0+GAVqBSPtkVfdngKQjwPGp2jQPinRyvet++MOsFcNhMej8TrvLgt9Z0MvxkaVDGxAgRPWrEByby
8WfWg/OQpMNAWBwHm7soL7z96LgoIMpR0OXriudoVvF+9vryvpylWg9jyAxXep11w0DIem+gWZQr
t7bsu1KGy3ApY/qllOKILWZ0X840bOIex7mwmNCgmQBkawTjzkY6fgAuybAMGcH80ZjyaufFGU/C
uJ6PhCrA3oQyfYxaUT0BuQxue6MuL6UR9vlezsZ0R9qHOwixGweOUdCD//gnbSA5RDeGYyE3xQ+f
Kxhf9UBkVnNKqjbUxYlWj87KjSJfKPF3FKXU2RxL2aA1IoV5i2RDmJ+u28R/d9S/3VHlUo/9ZEfl
SNJ/Sr8rP9n2ll/6Y1Kz2Nx8aksft/PV5/zHoMb/BZ/Lss1CuvcW7fO/dlTb/0UsQ1ATQBIqMmGy
D//fDos6lH2RCQ4HsuW3/sGgRlDGfrvBwlmifrVA49r4gxFN/VB82kA/Gs6U4WkQAaFDaArVgxbh
zBrHzxuTb3EazF8JDaLNXkvJaQzY9yMeh+7QqHzY27Wo97QaTfPraPDfOtOopv701vhwPImo3XH4
mz+OkMYWHlsKJuqoBqcq77Aam3fe7LLXs0k66QrX01MspCG3cUP6dEhz26iGdp0j9Qs+e0UhHlr8
qXWzrSaVq/dYZsPbKap1x4bditc8ijqSR0ERzTuQ3oa3IdDYMu/oEcN02Ui3M7yDToN5IzlrgyIX
mZbpuCmlSpt3EaGch3I0UOCufbwbj17QZpgSVEtvkvOnf/KaXizToGQ7UkWzu0dNv/W1Z9/Pwu3f
+SU8Xd3UGCnYwTMmYzqBLIvG6BHlLBkcA8wjEs4gyGOBS2kM7oYAmv2pIywi3cXDhNIm6W35UMAM
SnWod0UTvIxBaOzxMTYnqPiC8s9uPxEX29z5uTNu8DECvCtPVem2zwq44r3wx2mv2r47o94cTqMB
5yJWMztuxkjhtpb2dCnCaGegO+cc14vy0ZD+K34lXDBxW5ZE82Uw5IOAACizd/SNwQjiYe5TEu8U
bNqtjofxgs0HCGSIz2XqwRPOfqHQ8bgkqHqpIX9t2pxAMmrA1QhxmbLCNmP30fTS6pF2h03YiUc5
M8wKZbDdiPQG83Vrv0vChrkZQmfKn3orp8AiHCbTzxMzBISJZKGPOBip9/JiVxHyl65F4wI1t013
UdSJA+7vagtdnXSF5WyNPbQ8SsB5a1GH7gNXvT57LoHbCSr5U4jeFqik650iYeKyCwoz+4BytX0u
VZl8qbEsEhTVG9VT3cbzrV1Y48UeTPU5VJG7k0FXbxnFIbsH8LjOpoEE37ikOuW6y92MohLwZVpF
bynLHvVkM647Vhomx1A/mmrQtwgeSa7Sbb/NZOwzqQAf1BnAbSxN9tdcdDaS35wsInO2ViGlBEua
WMRgpweEauu5lu4HmlpybYwZz1LP77eOr8WbFVK35Mk0/UaZGNzUeSQ33jg2BwnTRqMdSNxXnsQ4
AQJ660fraqoprwab+Wq24QnM4A1LGCYc62rIQUeNOcdcfDpQu7Ds0Pc1niE3Mz0BK4OnZ3H3+JVT
OkgfTDInrvafnFicC0qL4kycB1cPAOCMQRQoTTsQGTNZDn0fL5Cfci21C+UWnxE8yuLik8DK5cPQ
uegrAuSQeJOsq03Jv1qWQs4bw364WpmsxdWkCjN2aIuV7jHtmnd+pOdf1TCPQH5aefQXbxSKY2xS
+CTLW3ZC/TpcbVRo87FU5Vd7VXq1WvFUxnZVLg6sIlB+v3GuxqzyatJieCmPKPOwbuW+h41LXC1d
09XehU1tOJZX0xeMbwxgyeIFc662sGFxiDGX1A9uM8ASmq8Wsqloszsk8RUzWI+6mIRp7GYNBw0c
m4sLzWU7OOd0GeIVqQj5Cweh+jHuiQUlNcayb5Du1hdyw+i9qWWQFy8jPXhVRrYRPam2uBfri3ud
/jXLIBBnZHMDOiAi80Gn70D0F8+4NMFNTlSTeYWfi+2ZzZdg3vRTEqKBW8XX2aMBeOKeGMHM+FDZ
IdPJcRlUWteZpbrOL8OqcRsMwYw1m9muT1MuNPbeiGH2Mv4UyyB0ZCI6G67RrMJlTGpeJ6YIcuQ5
8odkhy+3eXLsktlqINzoAY2T9b4c8vhREU4nDm3ThvegASvq+6kjQ40wrPZjiRyUxFGQes6+WYa6
wTLejWgsEEIpxuGmY7CO1kBoB1kQVmIaJVMXYaxZhsXO0PJyUD2GL+zvzF6NSO9q5bYfyYzjJULf
nC94D+1dMpHZ2KTWuK2XITV7w3hMlsH1sIywsYcyzR6WwXbKyAYNTrkMrebIWPvX6XeyDMLFdSau
JmuZj7eMyplJMTUf0EOdO0To168NIXF0zqkm6OXZfMhBqG0buZ8Sm+mO9iTcKIgWLww9q2NCsXDv
2xHWTWb3FtNfC6MICp/RIKI8YOufnewSTl7AYB/XjCKc1XWMERVlDtbEJL6tqmRyOzml2ksKB35h
Hq079NzMpPWiL3AWpYFl9RZpexNDxoYfMRSpj8miT2gsezxLpybGs8VN/SodqEzDomlIbYivTV6S
/cK55FeyKMpPrFIH+dNVEiGv8ghspdGFeHXaETxOm7PtLWoLB86uvSbaS8ktOTCT3DCF9e3d1GD3
3IxMZl/cpOuKbb3oNuRVwjFd5Rwh3o2AdNVF5tFdJR9epDS1NFBympmLKKRf9CHxohShKObrit4M
mQx3BkLTx8l0n9IxcPbJVWpiy4apdIEQ+4a0TsQoS9l+F5B5gzAiKj9Oi2qlW/QrCDr4voKrrMWw
k+Kj7dQ5fxPVi7XoX8yrFEYtqhivbsWlxXXJXbSoZsKrgIZzF2KajMxrbOzKSt+Er15bQ7gbZxJL
cljiV6cECYBacdcRNmUjRolAzAa62BrEpj7qyOxuCdeeHqQrYiboAzg0txVoWmhTGVif2sfQR8bG
oci5iZySjHTiAiwIwq5wNkzkmMNpGdsFrUPJuBxGzgZoKxPAZKx/9fwamDoBWP6JWZxeDpiO1aBp
K/3tJOYOG7BuZlJVXFUy0+vdC13jmRA59GtEVhnzAiVLkuFSixkntmYfSdZNIV1cdX7SvLcSNRkP
sKBJ5up56OOxKWfoM6wB1Ipl5p6GpFlcquBe6kMKz33cjDqIAh6tkvNXmdne0zgSHV/WymhXMpnc
s9ekeHUj3672HhOP5KaJpnQE+qNytA3e+NLg8HtEe6E+1oGX7EsXMcQqxU32SQrQ7x6+gWJftw0K
PSPMTWCfYuaRUeOFRVdYiXvMQREg4ir278JeVV/8wpTxOjNDomO9JDPXeMyh9dq9a25GhCJ2d3a9
ySrd/+rvqMcIOvmbso7mlPhpo+wWD1v0P+s3sBHx9zK833/1j9mi8ws2JVeh63UWGe5Sw/1R3slf
bItS0DS/Su0WssbvDTObqBIPhZyHTdW2rurdf5V39i8eQlwkeFR45sJS+SflnTIXf+o3fhhCaxCa
wlKh8vSwhCm6dt8qexVCNKQoLeEgHRzYFSKMSG04UdZ6Yw2NP267oTJLAqs5oh4DYovwlluFT3jW
THd2TbJAQr9jpkm8LZ0yrA9GVgpiMquhyOFbRHb7OY8d7zIFkTxWZSduSwdzaCd7wFOTldQY/lx7
aagEVDtJZvAgzZjt5bPvXfwoKF/ZZavXypyDBoRkG3OTF8K7QJiSb4TxiFsGdESFQuh13cXg7VV7
K2NLRDxrLL9iB8SUoIeZ7vGB+i+M2HhhTVMfzHbrjY/h6PgveSxQ6CeWfQzSHOuRXYH2uoPBl5an
0mlKj6Qn1X5uPVMQSZtjPRBRYawFT7R4XUmsfxP5jj2He5+PUfkS96llhQ2ATls8MyR23pQ1jvdl
afQHe4jsdzOyuvvCLmlH2WYJRTdvxW1o1Xz+SoXBS+Jm/Om6jisakH5CNHblz+1nyCpcgUKW1nPc
ZtUrmAlzWI12w/8mR1Ge89Jx3iaQFWRIhbwBR2jerSZw8t5EoPicBEiwKJ8IIGD0NfKpZcpreiA/
XrPE5LP7mTOT/aFN+9aV5B4WkYpu7dRILt4QCPbjmPzMIB6OHKFTYmAUv6OM5XoScZaE6G4Ihdmw
rvkvX79Q9i2I6mEc+C9Wv3zDw9SP93ylbfvBncppvOgqwFAMJjQhgaUl8ezBABxerUoitfDqDjDM
V16bZfPayXqui4baBSxrNEj10pM0nLUyVBjv6y6nXQjANTLfM6KS9i7Lidqh8zV/iYKeK4FA23+Z
Mv2I+sjZQV0g95YIeBLVGUk8qAFaHdT92lhXIreeC8kCpNJYVi0qu11K7iVRGNidw9UcWPz83SG0
LKLOtLFgu4SMMjodWA1Wg0wMjmlHKg1TSfvoSdHLm0ypjhxbZIKPGGyzaBMMZCyslK66z4QX6XBr
dpW4jZDtaURHI18wkTqmtfL8EAtqmlTFdCoSP43XqU/pSn/TYb3Rg/QvZeUzwyN83j4atG/tBTLL
+47nPp4JCAjGR3ByRYCbNWfFBLRUP4+j5CUxh/PdDcs6mXC1voLKx8+KCv2Yo4Z7Rf/FH+tqE48R
nZqtkkW8pzbxoZqK6pVGRPByXcKxobi+aVuey+VmT5ZFGrjD+KjtnkuirXC6H/G03uezVZ5llBQk
nLrSf8HLwIXrysoGqZl5LJhemeU5IxyAFbDcEsxa4/0SE1Cvp6jnyzbZOGIR168kGjeH2qmwdbq4
lZ+lLoMXIzF5RlZggBhN1xiAs0Zxc7r0x7cgZ2KyIh1oPjrO+ThmLI8xJihkrHRjuR9MkwVm2Nzk
eMS4PkEjxfNgdXxqc2HmSayRR0WWwkWXmX+Za1JIV1088RdKDPlYmghbAtavOObdJ/WAohVDwMR+
Gs7+xswqdXCdBsFbhnnfqUdjY2ss1AC2Uz6vPTa0a2YMd9GWoQB3GDNA3tBss2PlVqmjx6kdq5sw
6f1tPNWM4Cfu5dRnewZ+ZPhbCmX+Drlm8ghqhpTEji3DNAPx3DlVzxUkaf6xYqFjb4zS+jU1g/rg
k/qx5wxqPSubNY+5Wwc7ishmfmp935GHsWeLxHLkX8Y0ZUUZPtEnG86B4jnA01idwlI5QOOKnJCC
PEhILjTneN9LK53Xg+ZbyuJAvrWxxdYsgok1xYSaBc6ggq8VSIvzZmpK0zWyUPFc95N4ThySlzZp
A7t3hbiP9SLaDoVhwSrVSFfcVe7W4hZOuHjOQRg15DBWYbAdCDTgThRZOZ1k0vDnrTBoP4cpZrs4
cljdPi/BoMR/IQxWJGdZ9c2hx6xX765rXlqSXzI7PvOaIoifvXLFbR8P/ouDxoXPaS7b3qBF3T0M
eO3GHf5c9jfc7XRWIntZj/7Ueuuq9vwXw575Ir9uaUkrYjoHSrOUnIBOIFaatjbo5EucGnQUxL10
ubsy4mfILtFcXjsbd9c7Duq3fKH7OgoKZqeJdtedtSwj4e41vYwXwWm7eNFhOKXvHW2zT9Db4I2K
Qcd7eFDOGz0wf0sySA7HvbfWXlh8xv3oH5sKQs7Kq83l4RyE7MDgLcStngkpW2WcH/q1h1ZEoEWP
ChHdWVM0Hdh+7FyTb0WEIDYYQnOB6pazf86LFp2ppYKRYqGN/exhTrLfEjNeYizIzw1feJQ2BzyP
OV9RYXLXgIRhr+WeJPOPLaZcGZqWzppsGfdzWeQvZSiakx+MPUCqydMj5xC7eQbpdiz95UFEunz2
HE9hdeYZ490LKFngG5vB3oEmBJYmRHfrmHZ5JgIvXBTx0btY1bjUCfP5WENHN6yyvrQARNZNp9am
SrgH0MtS2IL+7aZjG/UVGfV+kwf3ZiRLEow6GBH9rqraemegMrqnJ7ZKcvUYWBLJxuRm9JVhTeYw
KIUoc3ZVRmQAehEx2CYVcGVWaIFci/gQ1SKLWLm1TNZg+/ODoM0Y0S2pPDyxqb1LC0TXKwWFDuCR
JpQ5SsnMVnoCtlNUZGhO7pSpg8+yhNjU9osuFgLFmUHnfOeNnTq1ic9jjuyYQ0w1jwJBi3dSDOWN
YbrFXTyn3klZAatXQOF3caZuQy+pFlPUiKAzVf25GWFVKTukbGkNZ3zLZJm8o4H+jtq7zi4ZAuGH
Oo2oHzskqzDUQNB7gz18aRHv/hp5CD5aLNS4pIS1rcmLJ/Z1asiCT/yDOYCLm8Yu3yL7HeEzyQTN
rt0mNx4QhYkgmN79nHResZt7HfAcj81tGOt3sIiqXRqrZq8C/RGo+RpYh/oVaMX0GDlTQWu+tnZ2
SneNJObmoTW5rK5fuHBW8vETFKhnA9fySmgkvV4cwWKYGYOWdDZ2JSHM+8Af1AVRkdyGdftcL0i2
VeNyMtq2eV3edHPAFkUq89oBob4FqIEDOm/EyWobeOeIUcko6uWlpIuMFHcs0O3UKChcZFM0vbyt
QYo5gapEsLBC0ns05hvFqdOYU3HHQ4A8FkkeaQit/pg1Nv5UJK92YRcHy2ibvbc8IeyJDt8Y+v3B
oUm8oq9mgMsaScSsGv8GSM1DH+fWpisK8zFFgAYqNeveAXYyLownUZIbnuL3NGfXXzviIziXgFU6
dYAxSAXuyg+gHzqOd33OnDbJrfQZNwtiam0bt6ZL4hVPXrVJPbnrFWHXSZnmR20q9Wak+YfRWLRE
gmD59dA07Q4srSxXk2IqiTK635sBgmTHS+s1mz+hU07Gg4iAy+NQOJ8rMN5bqyP9SVQmiTFhIY5T
0thvATCuehOU7fiBE/GW03XDSTA2i82Umum2o5/9HNTsKOz8Tb6NS4H0J7bUwWyht+YR8xja1hNf
Wib0JeoNSAyV3Scg7lrXa7h2nWM+DjrNxDZ0smZaxABoeh7jAJrpSiS5zA5qbgfYt+kY7qLEqjez
JyqCyQdo62EUQNwpQzvYd25ksDE1sXvw0l6/GGlreTz2AosudS8waFcdFUhUb5XbEE/Ucl/Edqdf
ANVkxxn88IoI+3Q3z92MiGmJjktUvHOtzHynw9Fjidtw141T7CwHPzbSnLG879vhJaxzIua69r0B
u++cN96NmxbtmodX8JTTh/vg69aF0kft0p3Sup7i961b9eYRW7LfnQxaKwszz2aYjBqjr/U2EQsH
kShuO7gL6JVzmmXix2gGY+VrUGds6kGSaIgHhp6IJKRlSvsW33gCkH9tZZKU27A1TI0C1TF7+9XD
wk0SZE93Ze3FHowDxGROfq7Nhv9OqMIsNqaTdx6rx/KbLe1Dfxs1EactCOscRNxB8myK6yqbTqaY
x8fJ0uKZs2iGJxIUQ0QLtvobhIC91Mbf187U8/QeoQ8xaXXQ+X5fOxMuRvZkHR0qN+SBGSKiyohL
0rohPwMMbVs8VYQyy+NU8hTdjHbZpqdBWsNjLwcIdtGg/RcTTwNs5etjWnScqo2YMx1RipwmYojC
2ywolyPFUnoWvpk1G8iTFG+pwqR2s7B2Pn89I8c5MJyejCyuyVSNj9AcsJyhXB3vl8fKG24f/0LE
HZqvlaMqDmTfzLXvv37u/yn6/L5EP9z+//9n/UmnDMEbPKILjYuOhi9/sPRFwqjjCawMrVmHr8Qq
GUicPILM6nUx8u5Zh8ALLW8wngoL3j/hMBFvayIz7gm+NVcrtAWHJWc2CLvPJP/KxeIn4VUYba7V
qm1VfD5NHPd46XGdxYcypCBfx6oawm041M1hnnJe3bHw9W3cdBpa4Ml2/vnnH/YKXf3+u3eUEo5a
8oFMJdTimP4G4jL4YWzYhpcdimBAf+yTXtmuIzetOOrAm+AjV3mxdce2fstlOj3WHR2GOqICjwE3
P+ZF/TeXX/zVajSxerq2VGAIru/4m3dkOLUx9zztERcvuADXcMfHjkbSS0tjhotgLEWrtqz2sxQA
G6uBqqDQZUP4KuzGeN221VI5UY78/FItX/v3VwqxNjoC+kxEucofx/R9FGRxBezwEJQ+qzcv0W6/
n+Xctx9wxcz1TmKvaACaOhlyXZ1yRv35G/iL70qiEFtaXSjFeBeLxuGbK6MjFySD1YUHh6gY0uGL
Now3vS8Ci7TZNgqpyYJqH9txFJ67ihRMnJttcBsWnXj2zF7cyjKl+Pr5u/qLy4KxwHZQL+C0pfn+
/Zsq7J78x0SGi7iJWnbkkIzFqaR0IxwpW6O9pkDo85kaAld69frzV7/uTT98K7w8bGVvgfhA2P/h
5Se8McUwc02mjI5BIuqJdndbe3nCFxJNDuEbjATs55SYwqNYqtRCImk6o2+rAFO6E+LNlZl2YXTo
lkZTVYdF8gU+J6V+YXMeub7h/wqM/q4TbTqSO/3fC4xu3tr27VPUt791XfudyeXrb/7eiHZ9TCke
XW2087ZCMMRN8Hsjmqw1AhOITEPm4y7CTTrffyg3rV+guNhf888Wfzmr+HedEQYYy8bBvagvf+dS
/AOd0Y9taLrdirgp24H3SB/a/+FugDfjGmllVAdUcl+iMvT3hgfJhJGg/pv77q9eiS2bzAkFakP8
KfukkIWcR8ErkdhAQ6H6WBXluGLm0//NjvxXr8RrIFBFcP9nNCSDbk5/CDawh2CNDnrzrh1Qsbj1
/PLNF/4XT96/eCEwlJYkcNzlY/24vw0qI6m1mavD1KZf0iz9QrH/JeGf/8nLODzdFd/4n74jTrBz
S9+kOgQG3QPfq2soPSQ4poCk//mlY61yhIBhoDzx48kKzX0uy4hPNAQ4skeTOOKA1v6lYYv5+Yda
zmjf7oMsPHZAlLV8T4su74dngxow1nCCrQ6R1ikOnOlxCscXYUwv1wfkz1/sxz3/+mII9ogwsgiv
X4ZB3z6IDGya3JsleOd6SZEC03VIvJqekBG/md7CKJSNvcJ01f0n11PaDoMeDmjuj7cXFUVPo7mo
2KXj8qmnF7JyfCOlR8q//fwzLhfsTxeUWRe7AhY47urvPyNpuP0U4/I+GITnHfK+mraI5oKnn7/K
Xy35ZaL2x6uwZX17JUmKJm+JhvDB8EfnjBTqZciRviJw+48u3Tev9MPOBEUpKgeSPFAV99PGHZO3
mfM459O/u73EcmW+u3JEYTIrRNRJeg3sjmX1fHNMAQYTJNJoidt1acU7WNVW3QhSRdvyQx0rAwJA
hWk4iayd09CgYqh8+pur+qdxIBcO+T7nAiSp0rLUDyu0JF3Gy8sqP1S4OehMDQBUp6ob72eZT3jd
TXLs/UagonOcgwmTa5Nk2L3tWhYnOqCuu9YljVFvxHLclIX+pKI4X1/nEUueA62B9MvEgPMYzqAy
KwV6vqlmerjY8Go65/wviDfyrQkMjoYCNFXFgPKBzpH1PlVWeXRwT38cckBlOh8JR1H0Tcqp8Pc6
4ZZK1eiGa9rm2KPTYsQ8R+z7sevoRvWEvGw7SxVPnZHIk+nP+lMd8KARnct7dwWvksjyrL2WlLBI
eVG5nWSGtjVFbhO3vB/A5fItD/jQKRydXQk1lxnhXNIlkI67ZtSIgUn0GfmHtd35RLTBhq3NYNwm
NZhRWN8G+Yx8ujln78wT/OmqKyxEc+xvURhTL7g8hQqFlLMjpBiCvS/sk6ThsqcHX54FYKGNl9Pu
9xh6rtEcWu/DaPGAhiL5GHpl9uJq/Hh1yzSvdnPrfcBnX0ZLzGiqXBKa7QYD441IkTaD1mJiuxld
SblgyCZ7oV8HLBXA2gMVRPcx4NKco6Su7tw++WLS4F335Cu8B4L4haDj4Klz55Iez/LuWyY+U2aV
KY42k0LD8VF63CcxRUgyMlzhodKRe5fH+yEk6I6TCEamzOqLUxxyTMZzHsa3IaDCu8QNiy/opMSt
KMG0khjhFBvL0MRNXu+8jERCzFqBd/lf9s6rt3Fr7cK/iAE3O29FdVmWy7jeEB6PzbJZNnv59d9D
zynJBCf5zv0JECDAxCNZIrnfstazYoePjLhofs2OBAeiDia6fRV987CLJqvITSQh6MsyuSJLHqwv
HWHWIgAJyrl2sl1SGLo6i65X/trBS/sch4r62xA9TWeBZY+5gl7UV1qZzE8eLPxvYyHzT3osUHQy
mjZFy8NbJ49ib6XCfyy5ub+ZSDPSgNUOtsMaG4Fc+eBqy21HlsUV+GaCDX2I8mQaj9KG9qgihtyR
1AI9dejVqprbbuEm0vtyys6QCHYt9323srNBxY9tQVbJrvOK9M0f0N8AEunPiGNgxyV+n+0ahp93
A7aw57me5Y5dT5ttB602yFdWpj1jeGPKxjg+GjoWtlJ8n33V/DDYxh3IK2cLmw1289CTsPASpZZ9
+sLu4sTlzdadZh4dlCjImIeE9bfkm7BjQtQrVuVHlMXFph5JfWW8+In40CdG0TGPvBGxFVE+rbWp
YaUZ506MvxhtAXpff5cCPGDGy+nbAXMPYtZmazv2w3sYPZ1cx8yBPwrl23vSs5ZFUeygnRPds2om
5OVAVui+oU1i/PWKI0ojepDFEqG1etCIbOfX0Ufb1XAam/G+qIx9W/bfmagmx7xwwHqFyjlxGru3
ccdNKQreli6y/ty3NWMYyX2OIYT9m3LlE5O9+aT74zafXVR886jaIB+IO0Dcs8z022xx59VsN0mP
mdYFk8SLSV27rTTuetkxb+x7xai2gTg91zzd8qHtd2I5+pXF723k6RsbJO9CtKUNb6Hxbs1+0UxE
TLPIsTWPgIl4NR6or4vUINCzqVz3Bb++3czcRrlX+Ze26Ib3RquBsUYNz5zYkt6tcOCKWjqYJZsH
ZV3z/GAk6d7OCbRFo66ndYgqiVGd2Xm3YSnrKzF0S97tUux1fl3tMpJFwfKkPMQIclg7Ay9NBFO9
JyiwDQwhhvfYLhbHHzkfZONwBWOjJMv7Yqq23MaD6fEl5OrSVEtpX7L/zYTiYhoq1rmrXBAo7vLp
oBMY1rmDOP7rqTvEyUsrPfGhAzhZ9cs1YjMPvJZhm1ynNmPXfkLn6g4UM7jKW/s6jextY2E+7csl
nddc+uu2xHU7O+UDqw//MrvEWGEVrQMO3CHo+IbRa+rsJyNOg289+0Psw0VxDOcOw2zHs0eLeHoM
Pjc9yR185ojRtib6S1Kn+uTaDA39uy9QyfcaqCVZdhdPNtm+cQCMs4H2d7kfaee2Ti5mYvbPWpo2
l2mM2zMm2adEN4cncB4eyQ5sJ61Z2KA04XAWMXo/pdXhTSZf3KrOmQnHn2UURgFMpwfu58e616O9
4UGrjKO8ChAhqIs1NQbatSna8XD/rtnQ6AyXQ+9rP6wlcfZYFTx564Injp574luiw0wOZr5S9fMh
61gNkbZ8B1vaP8xzzggh1bMKdLfZ2O1zw7bqXRH7K0PEihj5xifcBcMBD7OUPrPiEkn9PBCRjkRk
qHSfFBQXFjBr3HqNf5mxeKbMJF8BFm9xFYdDla9Ubjw0uZEfh8rMj+ifAcyVXlcdUX52607kk5Gt
meeXrnOaBmPMZw6frOb5B+EyvKuMIRkA7qUxvJWkz+MjwywTpZ6Rh713tPquLFboeBFBBbQDdees
Zr922UulMQlr+NU+lO0g7Uki6KosQwSm2iUnFH2pvql+pod6rpwIL67b9gaSCMO+1Op8HANehOlb
xbXFUq8Tfc6zp3n12EK0QTlm90Nqjih7hMNIlvreWiQNU38sMiBFidK/W163V2lKPOqEPcQCmIIq
gvuLB0d/i2BdOwu0COm6deGNkQ007bhPDUKRUwCzHQLPvVGBHxir8E3GhL26IEo2hl5iuHUr8UwY
HkmwnNFsbiPiSgvL6NAQA/G65naN3qPMFd1KAqZeZS5J5uiwtEMyYr7ZulHO8w0hAQ/9iOqEhg2X
z2AhE1orfuE92wwUVt5k938ztzP/VOQvBbEwTNvBnMjo4pdiVC3jMM/q5D7Oc+sIqyf/LE1cK6sB
4IIOYteitAKtxcdGTGN7vYj3V4J854sSlFVJnb9xcBVHz8AOPhm0OsjHGBZnU2efLCNhpFWn9ZV0
mLKjJGfb/UWnj0LuQXOkU4JEkIf3pqVbb+gEGAFiiyfiRMMDNYWCx204jdmjniTp69czkNUayrhh
lkb8N13Vn2aYkPoImFgIfDYjTKxdf2wOIMZGVtfo2b6imFg7xoAEPeowS3g1NVNLmX09mVrMun2m
xlrCucicMWw2vzk0POH/Xd/867D/6/0wsBEuAyNmD7/2zURS8Dzg/dS5eOz06URWRLUaXKiFBG2F
+OW3f92bLF/2r90RsEJeCY3y4iH+5QOwejuPBpXt+4qClLAjtrUFiQBFEX/Rd8vDX7/en0Lh+A0F
3BWfhAXMb6b3SyNLfFUhLSQwPFyrAWUGKd3g6operVMurFZDoSyhFF+IMB1uvo5gPPRIMGI2T9sY
+U0QSuQs5Vz1u7Ghxvnr9/enPhuLH+BEm3eJ5NT4dazeTs7gKNRPe59+e2djqjopa/i7e/BPEwte
hUGF4QCSBHPz6y3YJV0fOkWZ7B2LytWJeGoUymmDyoCyuHIkTJcppXIHLtM///UvaPy5H6Y+QM8P
+UYgRv+1F52EtPo6G+I9wvAoxE+L2EqD2/aad9SlTTnY08XXEN4V1vQo/an6JBhl2LRTb8NrLosY
H1lUo7yu4GuYm6glpd3CS7Gn+PWv0rJoflQhrsbDEh7yP3LpP2J7/m5eLdho/O6L/hMXmdU1bnUe
tCr5w7T658/90xPr/Sb0JdiH73+ZCTv8lf+YVvvit59DaoPj4p96af7zn/ZX/TeBXVbQRGGcdeAm
/Tf66F8vfw4z4jHoTV2IBSQ18DZ+P5LpdBRNbR9HB6Jv57Oe19POTBeBpwVmhpU06S/vVOTV+xK7
8DfDGMf79ZHHDIVgSs4RxzR9pru/vHqCtRspRyNJcSnnM0TReasZDXltc67okdpY37fkXcAFFu1S
V5Afbq360iiuCGCfHsAe0NGUUUN6UCmdBYom2BcHMjTGmzohqgNvhHqZFSQkA7w7e9hTmMDv2BSN
gn8iAB35UEjQr/jobKcYyNI1OZn9h5sCPAyqBB1STch9s0pZS95V2uQGdRoSUzGwcp9d3q8iU4hw
A+QwpT0uW0kw91e8TUBEWExANvnFvOUBDMuF5vIwdRPMUye2NGaVGTrbrr4X1OB4JhYV7moCIuT+
6CMzgmDju5rxqPfI1DZ5F40wrZjU2C+x7lNEs4b32/hUtqbknB4YCww3FYw+ACWRN0TXWDpjb1uS
YxTdDZHuIMSUOcllCX4Mb2s0fauvtVg37YOwlv8zErHvPo+1VMUOsYuzijSZgJMje0EGoWjcaC0G
D30mXTGuVagu6L1YQXBuRN8RE0WX3p3KDUoGfHeNO4ECJVjQe547HGObQgzjZigqd9c58xqly7gq
9b5+t9Oqv3a9VIdPqUfmHt6roGNjNDeEzCvq7HbJc9zlda6fWZ1nzIW2qu69NOgzpzrVObYz9nU3
VQw90m6Vq1PikG2nTX542zvT+CCVLZ91/CsrNyO20rS7kt2jtD+0Ap2L17TMsnyEMNBT/S2av+TQ
Yj5/STHzrYY45kh06+IAALA9WiFnpRAZgQqpvO1HlEYIwyM3oAEgYGYADVhiuPUnjMV1XyMe9Zvv
dinCu3wxHYxwOg8ychj+DW1+cvUMALay8iCek+yh7MkrqDQR76Kx9N+dSBIDQ0JwetNrTvUW9VSS
wahAg/uTByyX1EftiLqbn8LKp9/WjYJKW7F7MY3sW6opMJdOBNjfsOT74lV6dDxuKnQY1jbMQuKr
JMZrpxrzQ20OH2HYeG8z45KNrxa/Nc+E9q2em006J/VexAM4KTWwHI3tS0bjtzX7mULeoZbc15El
kScK5xyWrnghu8W7FvC3GCoM+FxRGB44wfwAdn/zrenK6GIOdkmQUW6eBqjr1xk2s30eKfuWghsB
aq/S56qI0xe+0Ww3jp15gsGd7buigFMyW9m7oo0NYVdF7jGpzfmmstv+Km8pg/NECRKUlOfeTWmb
kwOOLHWrmWNy9pgGQqHVSeIbuCX22UgOyEp5SXIsnMi8dB7k7742kydcukts6TToZyX75IxxuvpG
AMNwTwiPOpqSQRARY/5LaU0pHarTnlq79Elz7Nz0iPlqNrYij3FsIw46KEZ0u3bWo7We+h5Czd7+
hL1Y7SgJpqcxNeQ68rVDIVV+aO3wnCECXjPxA+TmIzbGhHEwfHWabH0ivoRgcml1Pzpivkg5KbL9
kqC0KrCgQnxseqzvhbs1Yn1czyOxXCq0u5NeDQl8Fho7p7CG27S0Kyoab4I135m3Ifrj544Z4Lsd
iv6WDyS8YDrtniCQiGVMR1Ji07brMh/T/cCOfIf5kSypvCuxwyYILPjauVu0odr6rlQ/THAxu9kj
Nn01ouvdjM5orbDhtDeu6Glc+hwZVGrgXvQa2/icDdRLK7x+HZcyPSFYnm9qlP2ZQfmN6lv/2iiN
6NnwuP9nfNXbEXRVv9KnRD87idTPfiv9a63Mjdtp7DsOimbCKVAuw7GMoJuqY/MvuFGPXRfRv1o+
/Vw4tOMhkSICBZAW68hzGGd2ZnHuqnZFX8CjhjnPCV5WejQqS9w7U24bqKW1MGgqZ3qP02EkExYV
PD7jJk33DcO/7xL65qin8shZ4m/CqjRe065PDhnu5l2FC++bqFMchW5LWmg70et21YzlFQjrQ1N0
/vVou/O5Z6r1psqOTBSmTndZUlYA9cvGJdxtmH4A7koniOEVM8PCHo547Ppd2Ij+mqGeeTQyo4DG
UlWPA7Owm9GewvVk9fPOTMb4lpNNvTh+V3732sL9nBKJYNVpm4i5bfRjkGO6sZLZJ15EbQemE6cJ
EMWajXsbaLBzZOBrjXbwhEyxGTZZ/6YYsOBXBqMGqhmXxTGLreox7Aqghy44Ac/OkzCwgdV9FpaA
Lur31RMaR8fZWGWUfzejyNsVCETOnQi9U+8VNOnEEx9i36P4l0x6JoPzDWBOm123ls4I3cubsxSQ
/DqvKY9VqTFnanHlpJa0rweijYgTLLonYhXZvChE9EFjaWS/N+bQ3eJM8a5wZE4f6L0XQVuXcFyz
n4lO2dBqZBjazgvdMY8eqZVAHwl1KZaHtmKgMofhptW98rLwJK8TPSx4LLGtkR4xqSACbW/ntuXX
NTEAs8T0waxIgN1hquO9SX1WaOjNN3pdJMlRARoxipqV0EcTGKxv8RicjJupQkYbhcV5+QKPVWaK
HSJSZlNFsgYGZJwZ6KUEENKd1HEB3ScyzAfXa/vN6GrZtqpKe6c5aYG83TE3ABxAK8sEWnVpqsM0
682ta0fWO6iyDHduq+Z1N/T+vbBRGeOeN7bwMsQ3VlGxFeSasm5kWBFtZvSjf5tFhYsMn0MWB9WV
F9bDQui29DOi+nNrOeQQt4a3EYlWfTD2NFpGPoO/B/7g7l0tVUGTgWIowqm5UXOmbhYw+Z6dnwGL
wi6C2WbwPgyzP+9CUbtP1ALGtxG0HmMghB+fXq51LzlQ6G0o1bNdZe4GYfUttIiGeIsSZxEiZ69h
XDRAxU7blCmZqrWDA5INPCg5zoubq5rfE7SNLPiTcDga3bi2S463SXoRl6bVbPNU2jchtelWJBzW
HVlR6XbwSKFdm9VM/THyEL42o65as9J4LPQ6v/RDj808nHVrx3lXEPDGeB8bwLTViK3eGyS2XVDa
kRumu8kLBZrTBFoKbbCawn2Hwwg9rUQ47goAHwcUwtDJWcXeDKXqAWFZI1xuLEOUr30zbcDiD3dO
Df9jQMh0cPSpuLSSjDQylRywoYbv/qDwjTe0hAY0fx4rYGApprEvj8WqNfThvofi8aDLMnuwDGpA
K2pmC9JwVV2UbP3TLB2qlcgOD7qr8MBHOm76lSw5wRgnEszV9fWMJNtMj2m74CeSXiQdJaZf7vPK
iJoPkyUgbPWVbCfhqZVZeVcgXQGAt159hHBc3TpaY55JApyu/aoWa0xf9Lbo2o9xAcopovB/nh3v
lKJ0jhzGn52RXBfYWfgtrWMuXfFK0pSxQuGXBVWI5H3l5s6zmHvjMGlugXkFzGvVac1GmfMbRubv
bJpvPWXN7K16Z8lMQkteJXpQtsWw002NKT0T7pEW4ZRkIt/AX3vgayHCgIEQBE/wFia+oZWWJQDz
E0zutvUiGiuEYdWCeQRIiFTeI+4sz/hg8sGHaMrcmSB6DH8Yy45RXJnbooPyGeF085L+Ek+W8WjW
RSYDb8S/iFeh3iLKJNZFG2cGLZ25nssJWJmV71xSA1Zzkpovk2aMaNdnFUDW2Pmh7V5GB8iLcgp5
Lrj83rTG3RiuHX7L28bZKxZgR9to9DNc/QTyKnC32as55kirOCTK9bZT086BQuYWTBakIZa00XWh
ZZzsMp0uts4vl3rZJpnbnD5B1W3wBbX9Xcd883Pq9Xup7Z/bUjhRJrIsy3SJ2TJ/GYzGoYVgs/OS
Q5oTWrfSRgLX6tnjKW130rm39IKOlFoKJn2ny/Vfv/ivU9mfYbcGqkF0s4h0fnlxwrxrZ5pVchBj
Wb/PaV1c4caP2Xf48u6vX+rXGRcvhdWZf5fu18Oj/Mf2O6mS1BnjnJdSRlUABPAmIiJgH3/89ev8
abq6vJCFt5KBA3BC9Nx/fCGAk5NVSzc6dBhRt6wgrYPTEXmdFUl7U9US5XTvx3rCl56/YUakox5m
otC1MF6a6zDm3X29pf/pHf9mfrSMthkE/me9433Z/Qfn/T9+9J/Oe+83m7/KRW3FFuEPXDXzN1YK
i+SRBuLnn/xrjvSbgY7f9rDEO5bB6PHfcyXollDbbOSTDiqdhff938gdvxRXvx9n47jXbYSB/J1c
33gt/njFcfBLlg8JmXw9yMqNH0tzCIoCalNcVDCFC8NCCRKl3q1Pxhv2rqRIrgcH7UmfEU6yrtky
YeZOzCeniacbEMTFfd844SvXON5qjjyFNWe296pexLhMke1TQob0mrqMVegwSidftxpxHqvYdH0q
lUyDaixKBD8ZI/9jN1dZtan8BDZTPU2DwNzuxHRNfVp8NnnHtsT1J2srtca6kFQ53kieS9TAY69t
9AqlQB1CmyTkwiYuRTNjIz70nBoMqCbnbLDTVEFr4FPuctM8DiyvQT5h3QFCVPUves6bWpMC2n7w
KnSstVX4AhFl0SAeQcXGHMfJUCQttuoxLBzGWk5LLGMCW3if6J7vbvBa5Z8JX/ge8P9449AKRBsC
PsMfs2MzGZO4vZ7UjOkHYcrYPFnKJid20OWdL4lTDpeM7KELi2+qoZ5twZRPp7EaI3tt4ZqBy4JI
CFdkTjpjoIslJmOOlXc7St5X5Sg+yFSEIfETZhKOkEPGZdk+q1cRed5NmOEWgXNW62Id+px6azyZ
JdvWHFDNzP5RsSiXovJvbM6e+ColhHzf8Plt+7LyrzInIWIxjhfXkm9sx7inZ6NML++xDHq3Gt7J
a4RLecA0BJUB6osgD6lZWexjdJ74djiewU51bnlhcYMl40vg5bipODJuHwJMPJ21TmzDbvazlrf8
zsLckplbfR+QL73UoBaelD5ZZuDPCL8CGwL9D6Hl3gZyBtAyj93p7ajw2fFs9e+NOoluR0ARIGDG
WoOe3puvRggehtwzaJbrNtaGNw//YSAb4V8pZboRJYUe0SqmRYLSq2rnA7Rydp9J2GlXBh6rIRgM
F6KpjgGKMoUyuD2w/rQHQhlVd8eY2JZXsTliymRrx3KwdpyHQkzWOf5pPzK/vEjeT2OS8+VSisYv
yxIb+mExMH25maYvZ1O1mJwWtSiZMGrxPskvHxRhyYspynM9xoT1l1kqJFO4PbZfLqqsWhxVhmrw
Utn8Q5T0Yrpy4fDdT0PdBIYMz26e96dkMWmx8b9mihFdESmIgyv9aecyfpq7GE66xdpdTF82BDx8
/fjC9MUSFi7mMH2xibWmnh2qORoek9ZIwLvG5RkTfMUwrb0jHyleJ5nCdUaKp/AYmcbDo+OEkbPn
9ta+FYtZDYIRC3r6CTKhOC8VmfIY25zF4qa1RoPbreA97Cc9wQXXd0a3ntpxPGmenh7oyu012KS7
cvau2rQhJBA4WeB75XgckrTbuGOSbayWVWUFxmnQLO2HDZyvysKaCnXejZ5Id9BcmfYqpgDNNN7D
aojWRKrvaOvsR1EvRPuu61bz1JWXwdNh7ZgG5HUST7QG42JkMQ8gz4SiEmvWFsNH0KR2cYJM1Xyk
k3sN/y584Vwf9uNQZfeF03uXtC+bgNH0zHC/6W9ERyrX0l9ACGCGbTkzjDdv2mUWnX4cM+JjQcU6
XeOnhKTvT+oaEpn05pcyhPOHD/cyq/qM+DsMlAGXUEL72FUhlWsKMPtc1yFBL80S+teU38HhVbsi
Ed4mCadwi60rpQm0m6AURrWfyxITd98TyQOqBKEdht/OjV7LxGjWjKYhQbi4XA3GFquM9voJVOSw
B6HWPqQYsLgwBm0X1eNnt+jekMtMm7ZGUtQLI3w1pY1cEu4TRU9qoVDXgIIeOqcc5N7MWbUVrMa3
vl8zv0etBku4k9YRaBRdgIaCqFOxv0vmRQuaN8kOMWTOVeHM7jUTH2bAGEWSdONVSXvnN1X46Fc2
t6ydhxt2OjGTeK/6jtqulKuZfLFnhUl0iyivXoWJ4W3zBiVlOfcIGIdQf0LOpbGsBz1TDsV8XXio
iKZqQGls5otYqivOjTNqFwQZjy6OMz0QPu5sOjfnujawba4YuEtxtFHWXvky93wEPNi1sjbp3EAa
wJFXRBPD9BzyicwXHN49LgIEPjT4mHGYaWkKl55bhkwyEIUdtTrKcG9GHePpTntsld48ccUVFWjg
QZ10QpmcMC1vx7nVr81UFmuvXcrLjMvAIoRhJPV4FLG1N/DTrnoGMQdCX9MPs7HyD0zEuNggCSBm
akNCF2ucN8fC5cQO0qmy146diIcy7vq72Jfej9Hroo3y6SOr0HjV/O4TsFX07BgOo7SpQBJn2Q8F
+hIsyw1keVP2q17wnJunKnyIams3mukrIpl3RBP2bi6tFtAJiRFmMj1P/eSv26w01q5bv1V5RnyY
qR/InpCbWhjqIwqZLMlUI+IHu+i+R95ZBgZJaxtC+8RNhs2UnfkgbwvhXBdRW1yR4NFtUKcwUieW
PiGwKa4HtWlEPl8TvBZuVN786NL4G3NPSinqi2Q2Ie+bPcZbMBtrO9SNivwyHq7AOJdipiIG26oZ
rXLKbeIiTN4MKb9phlOuTZRIr7Hh4hpMPPejFvVd14vPkEEHY0q8x5r7UoA5WDMvT5hu6e7Rn4iI
U3pHRr1ZvZQR8ylSH44Dsdg8O5XakMUk117Um/t0nPKD2asDuQJ45R3xkAyTvMq45ldEzqGBrBt/
Z6RgdJWe7uo+U8eyHe+tOW62Yl5Cr3o7QMk6/8CvbxGmBMA29MYe9fHMZx3mJrDMqeg3tkMyAaDH
fDt2hMzVmvceErEBLCB80YHhXfABYHz17NtKoAwy7HdUVeIABYY2H+D4SRV9eeoq48PNB9YEArKR
rOJ1x1sCatQMe08hiGssBTu3QlzXewSfUbG4dzgjIiKvh3TLqHe8GIUb3tRheaz50sus3iWxfg3U
lTGJq7hEkTaup3g01sTai2tTpQ+jVM5dOEI6I3nM7sCzF+VdF7N2gq+3cnss+Q4qMosjHQpl45BH
MD+2kESWYrMSxQVdGOq3wT8Zqvy0k2hfGawxYk2/AOa8LOu1LG5JRmjcVary1zpj5jE347eh6W6U
aC/wJ89UaxgenXnivgcWME0dS7y+i4IJPtLK9hZInW0mNjML9C9XBTm3V05eFTg8a5LGAJmC8M3n
G6Mmf+p/jd//C7kmXA/C839u/M5l0f4SeWr8/Jl/dHwoBn5DMOLARlucJwil/iUaQDtG+4aEyqQZ
1Bl4sUr/p8XN/w2KNn9kOCTBw/D/d89nQWhb/N2uSZOAd8H6r8IKoLTR0/2u59NtBxUbIxMYhh45
nr96jRRp4WCQp/jiKkUzk2k5FIkhNuzArnAq791SmsUWSlWMmDgxwfsYqIjgIcQ/mtCbS1bXxBwE
nh5X4yGeq7xg9u4673ONGz4vEo/otlxNV2Ul6+wpma3qqmxm/UdqRiMRL52kWqP9dad1rsHF3yUa
eli3bV3j0FR+D9zZTOrhXDMe28StZAqK4HICbOrIs2JGE1ATtSt70q70blJwipUXBSItZmNdTfUr
hSDEYgjUB6sf2cVNxD590Id3NoTUyNr6HtMS6LmFDdjDiZNz1pfDgQ2Du9fqjgClMk/Viv3cCExH
40EJG6U0/KehANYQwwSmh4nK5V1Nc/o02o0KYEqpdYcXPPYFe9h0ZjQs1oNE1bMmAzllw+aatc0Q
v2BOw4SZcnsmQWEWK755PmV97gTc2sQGETQ3N40aUuc0YKJ85xOZThJdawhB2FHzoa2tRrNObh1x
3KU1pAgIw6Pa1R4m/w0cjeFcphZdFScTuw6hF1uHJV+PitSK45bzgfVSWY0ApZDzuyc2/wUBo4Fo
INKx/Y8l5xwSQ8o0oz+IXAq/Z+Hi46EgAlMQHi4Pkae5riJAgpFqbxrirqE8vskqXxt/+IWr0k8y
Y5vPiUNxMK+NorFzcY+GUWydNnFxgSs3dJ/VkHGe4cbvrwbGsUen6BQfVC1Bf05Zlx4SC+zpps7k
LcCaeqOD46HblcOlmTIWi+gduSxHWa4n3PjYYoQ4krYJKobImu2cJHIny/giEigErdNZCTiMzFgn
PsuYIKva6Oh5rUtuhsmnHRjwR/es6AkBy8zJPuSjXnPGzs1baajs3WgrGk9fNg7FT7Vs9j0QyKuo
BQCyKhpfHBswGSvLjLKlOE7F3iq6V5zVMLQpX+wb4iEQapSWil6pb/QTroZ8i3dI24EFpZni5c7o
KtSOeJvxtihbsYsH6aUXWJ0u1hEPo4Q0dHliOVChfEUbsvYgUB/6QbevE5TjgEjbzLpyvHQ+Fuw3
VnNKdqLs4jfeY4q8Jcf4lEXXTtyw8egs5wosSvNM2RS+ArHwt2Rd9TuVmtZGVqQ2waBSD2kzX9Nm
2bfLlX1BYUIApW5iEaoEMBd3WnGOt4FnKptdpjKIQDOV/lmKSb+UtoyeI5XMp7qyhquyR8TYZM6S
aepEQGh7uQsTnFdhtTg/8C/slFP79xEcvZWD2PPKky48PP1SmGkFWS90rvC/24x5iSpFuD482RUI
MnBA43A1Jqbxktvgx9jSziWD0Uw37xzGV2zmG/NTw0lFMCSfxlbOtOf4Ud6JkPGDOkFTsaQtklku
e8e6V+YA8sdw+/Ld8oi2tHHH6yiXavt7m9N2FH7T8Hco7YAgwsC9pFBlUrIcBt0pjxKfWEAjn27C
PgVJWUTenrgP+IAUO96qw7m3Ba4EJ9vt2uQk/Lj7xoJPBhmfz7dmrG65rMs7z5iufEhsgS1Df6+5
THTYTFTu0aP98REAZxTZThHf+JmXYE8tix8AZ/x1pk+Eu6kcc99mKi2wNro4hE561wJcOUzI0NeS
q/teaLjrWMFNBrtbMwyGdn6gbRZQj+zIBdJbMbjJep7snW6+llmEewkwDVBaYaVYFhz7Bb2pvzax
otyVIzFnllsPTzJuGP6baXk2MiWbVe+O79pIqdgbZvsZyUFja1PNmzKLm90IquHZKGZiswWE2X70
5pupsMutAFlNTVOrE64P/Z5F2yzZ5tey2pZlE9GvVfqbByZtbVF43uFWxKM2sUEK4rTTVhbbqM9x
RjpS9IX7YhrtrK1nLq3NzCMniFFmMheK4mFdlDz5vWHJtvF6poGMKwLuSJMVmzAeogo5hwdZ+1j6
tbqpBNUY6EFKw8mPpw8oOu293UdEFVYE0q0bfYJeFIsG1cJYAUIULLdmZpZdYBnVR57DvmdX4a9M
2yjPRL2lgWZW9dVclMNtRtggW3uffGLDBhc3JXF4MDGjn2Nmemua7/SVcQDgTEiGZ1d5070+iIZu
iqC2O8sf233vIZUoxzBhFR5aQ9DHiX6peyWfcpbmT5FX1DcFSOVHJcPk1DFCJO7Kmx9EbU2bWC+Z
djBa3ISADVF5wIVeW/y2bMRpi9pDkdH74mXrHixQshMwsKZYa4z6Ase2yk2lx/pNhfzM3LgedXjB
QAVTkhymk51O+TKWALPllZbJ59gOz9boku3bx84O+jlr05SRy1EkwnlHea1rQRkWyU3UksrjpLr/
NM3M/3Rr5qD3Cr2DEBE1UIcS6Vy5SDy/0fDV0UqDPylXhM2BhwfKdkVmcL1Fu0WX/r/i+P9VHLMi
oGT9z8XxknN6/hiT9/IPotqfP/av+tik1LVIygJJQDWrs077h6gW4sJvOts8NLcoypetyL/qY9Pl
h0ym7R7Vtusui49/aW0FBGN0a8BVMO8aAuLPf7MT+WXbpyPqt9i94JUFpQRN8peVSEXxNA9ARK5q
o0umN4vDu4F75rYWkUW+RkqhOdRDOu0TQEq5diihptr1Ykgp9iAD9R278ulHjegArLau7GBMp34+
jfh0Pqo6c9eJ4zr1/H/sncd23VaahV+lXwBaAA5iDxFuZLiMojTBoigJOYcD4On7g2RXy7LLYe6a
qJZs+gYCOH/Y+9stwMHYop4ANAw79oHd7srUZJtjMqT9XCBOJJJvidlHkh66Zol7q6bKYN9NNcMC
ARtm6JrlQXzzmltyGtQPhZBFygzFUBDndgSyVOUpdba0bMdWkIVwPGJTjlcgYcmVxcSgcR4YQ6y1
zJivClxyWmkMjFyRpJT9Y8/GVwsdRLWF+p5giWEd91UzOTquIrWs1DOy/3wMV7V9S8C/7ey2WS6m
XlSEKS8y40etRVnhWqCjuP73Bvx7NyAVy5/egN+A4MFrXg+vv70Fv/3gL7egC9ibm2tjhWFsMPTf
5OfRvdJ+uqrOqps//v8WNL61qCA3DEulE4W48p9b0DDfwa1QuT1VRmrs5P9Zi2rTcf/QohqsxTZJ
gdBRumygj+2h86PgnWSphvGprV+t0GXidZ/22xSONoxAk6W/VgYD4m9pI4uaHMTJHgqF9QMQY4vs
vZQwjalRriLGuuFCQvkuXtrat+u1v67j6pCwszzhpbED1PPWuR4r5aFFar6xu5XzkDpbS1VaDxPo
x6fMcYcKnnemEKfdEo3SU4patDuQNPEW6ZCx0aRNkdhnLfx+3jenqhkfiOW7tkTZnfDqE0fURndy
bW+JqQjwMqlbf6wd2h4vi2M5OQ5666QZEWrS3A2SuP08muQHjllDStTUkSQgquUaGW0cSvTggC+5
4YjebIteCSHcASuAers3N/lhFet7LOLVeyJbMnYtW+BrYYSIaG+7nAkoHm8Uw/oAktouIcKaTcd0
3eL1S2pSvimCyCvHheEyEk1CEF1QatoKy1onRbhetjq2mbCnZiQkuarf9vlKWlBK/qjuwo9TG4ad
POLBbFPFy3KcWbQWPQHy9nWigeADD3hPaAj+mMjeuyV2QwPLdYQW0lugx9CMxWqgRyr8uUzzzWR5
RjNM4CidTUhJOQQD5SrjR4ZknalYYeGMn8qeQnSey1ODMPzckDzqC1rZerWRdJGMy16nClCkKF4K
Tc1jTXhwI/c0LLXqOznJFOkaKc+LgPMK2dOkvqTaFuM873QjdtEoEiOoQ8l6tMnnPfaaMzF5RkXb
z5qJRl8B3zirBtp0ZIymg9t1tOhr6exDFx5CMzfGuVWovquo9BHUtMHYd9ITsCUTMdoe2RNtUBRK
mGftY91bz868XmW6tL2YfmSnVNBFNXVNmPOXr6uZfczawdhnNYsqmRGQobqZcsIJ9YXEPqyZk2sG
XBOPpDB7luSScLr4zq0zvP8x0a0wKDEGx0AdHI3Mor5QkRaax1bPtI8Lll9c8/15VvJPzMvncE6c
JsxSTjuzYnm7rpWDooprIa2yll1YYxySlR4L5sGMC5y/y7XuRemHcoNgRAF15OT39dLiLuc3WGMw
2VkkZe8ikT11uhVfV2pS7oTzabNqn+bYbn2zsZTHwtDK3mcXaAR2kab35cRKtuqJ/mWfvOyJpOge
1Q2tgQ0nv19txwj6fr3uh67YMQSQISW5tVtzsn9MXbVDgixj1HSKekk5fEN1zcsQqwIhI6RYBcxF
MkRfmXXU2H74aexMzKtjdN6TfmZFOwYKp/wTq0i+RScSgQ5l1rdIHAlMTB2Ms7ZBrpmpT5hqMTcQ
bcKd264bP8P23ZFBDz1M9ZArYkGvOKonbehZo7iQNsDIK3kSWo0jEdyVxH0WZKoIIEo73up4ZSsk
ooNkvcL/hoY7t25g8H5KJ4uquQLKObX4f0eHPDR75ftsAMofbLwPjO7Ur6zTHJq22jw1E+6azBoe
VARbaGGtk0PspGd05rYXakMJjjhM8Fh4qyyswDDI3NRb941G+T5lugOk/VKgFib2N9VYjCpfSmNd
dkVHez/YV6nk3+/tai+tZcPEVhWWXaXzSxwPwRKBP0xs4Xiakb62YAS82AHmXevzwZ5w8BU5BYp0
xsHXVGcJyRtjVI/Y2Fdjq7tedHs3lvqr2yLNc1DUIU3vzQdS5mJyMMECLOjSudXoKNsvUw8p2V7J
sjS7TOzVgqkQk5p8lxX6FCJj7T3ylRo89KVzSARjikL/aFn9VRYb2bE352dHMrO3GXfh0BXWcVTT
6tF1p/dshiVeY/uLlaBMmKJtTRQXj7o2nm1j6G4aRz+ldVd65GIV4PUtD73ppUjw+EcicXwEm1+7
blSZQKFCNNex3hvGyFTKJHuPuL/iaiEnbG/MnUMPTdtfYGbvRfIR8YT7uBj4AIpKO69WNu4mfWl3
hM6C2nV4xWpdH1tUjpeejijTOIRmAkC9XDLfRTxf7LrRND21NB+2UILAGtqUdWV/jDsE28xgFQZZ
BNmwsVCDpGytD0U+v8hoHA/2Yn+G2kTKQVwku1Ef5H6uZmUHvR/GbTlh+i2mixrb7NENY3vj8rpp
e4JrTGbEZXRfZ2sdSivd4WSW7GON4qglyvvRbTI2lfNnwdSIZ+E4Hp1p7XjWpF24RBE6gHlOT0TO
yX2s8JSTDvEKY+eUCDV0hsarMHexLcWOSYPwZ6PR9rGdvZdTah5XxXlchv7c5y0RIEr8VSiNfSqq
ItqIv2zWG9ZgpEKhfzZKlYAbFmU1WWBMzOpo18GpCqSzrKL6VMADHZ4MxmsYjRh7tm7Frl5JURDP
+Fhq+TxEU2lvDazVZ4XXcvWVzm1kdsC8PDsBOM9NVmel2Qs2RDXSW99uCLB/EiN8QtrVZelYEodm
X/P0zr2WGUWae5UemffCIAq9+1BPuP7AJIipt/HE1/izTa/KilRJkCESptZ1/5bXX/5WeW1gs/yz
8vo2L16Tuvxtaf39h34trY13bFyYzOOOx69t/gA4pD6mh7Uwg9r6tzaVSv5Xxd/W3f4gBPzVRSre
ofIzTdBwxmYipeL+J52t+dPmh/aaCl3HzMk70IT2M9qr4wytZotoNoOlaSCMgvNpGnYCovGdmeBg
P5rgQVCd04vSdXbWqDzB6c/oRi2dsf0MOwo8fFm6abRHZQDznrlpcXZiN80uA2roj1OX2h/MFZZV
wnPnPMhMD0C8dQGZHWl50uco31m4tKlTsuoqa1qFaB0gU9eA8pt1Xy7cxpJFf7wmerMjR6xzP0zp
IpwD+yY4F0O7WC+TnEfnQsqiDZ58U6XpNd25oKWtfGhYTvo6DUryMpIoVGKeqvN41zDztq7gaCdE
ZCtFyQ4fTXKazF5JEpyQN9hhtmBt51vKNjnzfNxkJiqRoHqAXNEBYbYgmLtk9khMd8X4gPE/gz9X
N5mxs9y4cb4nfEcF3yci+6UcUWhFOOcp5Sfklb72LfFYfo8/zpPUBDsOAtuk46548OR+ORJBtnjW
CFKd/EhdKXnKcFiwV3ZW3E0Bzg9SRwEQxWC9uxg9j52DYsN2l32G/b70Zu4PeFNMROM1g0AgjVO8
10l9627sclCOqmQKqLLqgDmiYEglvNXL+qQ6Jooy7WOz0alRLDA4oleJ/NMqeUecrLmz3GZ5ZbGT
hyxtCvRJC/qtmqiBySnzK2bSYl8jFDmStjLu82rCndVWtYWUoNge7ESsjkm+K8sK9YOVxLem7gJx
SQqiXo04Z9JoCoqTuD70K5bQrpQl4hUFl0geoUxalam5LTLrKa/L+A5WS3+RyWTf0RBMH5LSmXHm
aWjPm2S+43qoCaio02cKYIA1er0wlm4U3ZfjOAE5I0JPaql9Q1Bv9AzWSRzmxFKITIy2CgZN4G6y
O3EVWVGxVzKEHpSYtE7PhGdg7IgK66m1tOqBjRe6KxjYMZR/+IWzz3rKnv0amPCxorS1PHfoy3Ck
ZjpKFJZ7WeTxs2hqcXYJiMUAAybgEVwwzaTTdFFGi9IVXzVpWIUn7JXQBEIsIItBsPYWBmaYpVFk
dtJ8zFo76LPRgFcmZpIXcShjoklXiEdRN063RC7pZ22e64NhAJEfMjQo4Fn67i4prOq56+dqP0V2
80nqyXut7SZ/KBznxG+6DJeGQL6lb5zrFcbOXYSu91RRkzzGmlhfRsJDyp0rZ/0tqzv1TKqrzTne
Cvski9ndGVnzZXLb6KCZ5NSyWoIQjoroAVHQ+IKls3i/IMN6L+SQbutmJ3/fMlFjVcodZilDtwdy
rYeuLYddChFL1mzm4LwVe1ZYy23lVuZJzr0rkd8TQOTxs8qtlnFgriYjMo+ZR3qpomwmILiZO7+O
c1hNGq70xHQg36SD0geG0i5hLcfGlxHrI76XgYVHkfixotIQ9/JUq24VsCbRnw1bEUg1uqd07R6y
RrE/zybrc8rNSYVfLgUSO71ZaQ0h8BBsuURX6kDHb6E4DOw0PrpGb1+jr2y5Ncb+YWVnFEBlq9+s
UXW8Rq71hVJv/QQaDnCJphSz55botWLK0ac4MUzfaguduMqyXYJ1deNrxjnjh8FU2F6QHUJQmOoT
z0Avl83dCT10/ErNmH4pJEPAfmqv9DGSiFnkHCTTyMIFIPtBKDAtvRmX4pU+b37j3JK9N9AfcccZ
aGc0ooB2Xa2R+wgDpb7Ls74Hrz9ogODHWbuZ+hRIF4lVKpVhSYbiQU+G+b6WBsy6PJbiAZ2Y8ymX
JcpF8B2k1jhb2AvyteUewBuxD0QqvI6Emp1dAIUWRfkWvca2ab7EWoVmcnSSHmsyljUbe+XjAiP7
xiZXYiFgVZDzIkhCwBiWHOvSIQqiwZZxpWh6fQP3IecSNXGQq/Nby5l3r9GVHGMAGz7/UWj/WdQf
YRq4e7IZ5ivEpOk2unHejLozv9aK8TltWv1Ks6eexVKLAo8Ux7CFaM5Nzk6GBaFz7YocUa9a41PO
1rdk03+1KmHCxjw/1Wr3MG/uQEfrEgSUSN9TetldqmnmXsW3iSKqq0PF0llaIXTuDzGy9yKf4h0d
QUTv02mMXE3a/NhUd9zvbxmt932rgwlLiCx+jG2NJ0jSNdClaGVRcZrFNS722DeBwyBiAcelyHmB
dVBaw95gg37HlVsGsIHkJQXA8JkwUgIQ9EYrKHsM5zkmxvPEO1wCnWWlX5sMh+jMzPJSRoq5K/Sl
PmrVgLsW33Ww9Gp6hejQBqZQ1fthnMfAQNT4gcVdEhQOkKvJzj8OvfYpa5scA5O+Xk2yjOH9kbB5
MRxQW1Vf4zIrE91fxNx/1cSUh6O2jA8ZG8aQ2r8L69jJYd+BkBKdEj1QQPc3lmoPe+kySVl6ttJT
nAkNCzyiTM/QmWopXaIcJRkxqUGcRyU/dapRfGxniQJTOvnn0rG1EIMlv1fH+Zg4xZcO3+VRKBz3
qp3nCO/4f/i0XG9BkXNAEageVbIAAgIC9R3xW9oVC+Dszc0ck2cnpK/BxA9r9FFxlw0F5l44Frtm
yNrjSEESjm3hHgTW4J09U3kpNOR76ExorcsapkUxMwEaNEUJVGJI/Lmpp1DYffU2mDL1ee+P6Rhr
/rgk1kFOokVif70aWCsqoyRst0F6X2vmW6s2dyNMRmR+VeajJEFBrSqoXpQXLTVY1UOq3KX5SoVR
sB/O1frGbro7W+33KGL3K+M6esQceFlS3cMjzk8AP2Li2hmHtUx+PUCXRI4lyQkhIHpmo7gWpaIg
p8U5X1ije8BnT2qKANyZVxdSRpIdOanpxnJjT1gsd+40agEJpAAiB5zww9pU4Lxq2sZk1PbVJEiM
VWxxqwyz7vFstx8HAFmHNYtIODK1L1gHlZB2ufRSAmBwo5CLPJHZwnkgxjvJoPstLRfCSxQuPwzB
B2ueKsyLbN7dAdHGZI6ar7rNeJzLzj1kTHy9OF2dUzksd0VqfjQi++nfVcXf6qWwNP1pL3X5UlWb
UOe1Sn/bT33/wV/6Kdt4Byfa0TAYsvtDr0ZP88u20FHfmRuTydXRDSOz2+x0v6rp9Hf8leWoCPG+
t2H/WVUI9x2BGXRTmqOBrtrkb/+gp9Kt3+GhbMNgL6mpumGj7/tZTVeUooeDozIgtat8AQ9Yp9Tp
xaZ7AtELoJzBqqBlAgO3k4OFykTvu+7IE01Td2vLJtFPChUnStsPsOwShshE6ubxGHTuW8Mpeist
aznTGKmBkXL2Iv92MNaWSg/2Aw8J0oaCGbYiek0JGXyRpsUZTxVFjM8K8ESvKfiW7rRkbXJDaIrK
3bGuT5GukERmkFEadq7aZCF9b/tAQuZcHdQW6XagQaZ8XTNhVcyQGH97tSUsaAINmBwG+1EwJtUh
tdf0i6Jp8ZtclfR65mdezKXORro+17jCwLrBiO1eRWILoocT3oyJSMIedSEEozhPmGVu0xoC5SR7
lixwKP1I5dHi1cMEwVnSL2Z2nE2ca4i8Zp7hntJZm+GpBAvqNpGKxcIUT07H16wpNvlOI1yNjRWC
BdsmVELX2zgkCtn1jNTQ8Hi55WVQhLWDG1zeQcKpL9nodLcJGYDYN1SkT/TPjZ85a+TnMoHTQfrK
4DN7uq5sWJLhYlsUjkB4VtwRpvqejfVwNdbGS2/Gw4PW95Wzd7rILQAGZ3EDgsPJ9xXciue5yPUd
ievOnnDAbGOBRtE1uR5psAiVBrCG72SaU39vW7WThThizJNABPO1V1BDGqV2b0+X0i2qoJcGaJJY
vRjjhtJhlipuKJHGD1s38NSVYr6dcJv4bmmFykZGNcscnUuCIVhUc3EiBCW6YghX3ZlUrNe5ob9P
aT0CUo7yYIFAD2Igjh5gFLahpZjlQaoYnmtt8PM8y+6BOqm3+LXtICK48xhb9T7PhBOWBrPRZATQ
Ha11Cf9oqqNDhud5N1pl/pVUojctcpVdbZBp6iVDod1zkcdeP8/tsV+10iPWEaGMY0qUSrrBBsG8
q7nafAb951pFF106rRUoSf8CYtDErGEruwRyDopQh3dJNoAfjzGbplFLT8WUKC+GjaW2wcZ+bxZN
c72gtT3hmSOSTEmWsNOQthdGR7rs1HLdcNlKaNSLvm9ggHsjALcgUw3a88ZiOeRoRIsscjC9KU4h
Y+wtkOSx9uRExZxCzdAkQ2pTWw0LSq1M4sS5R5+J7M1fFNcZH3QdX9iDySbDNDyThDrtWUMUmIWq
maVnq1PtO2hfUfJ+NtZy8EYNsvmucmHze7jtFl4fzqtLyvZ7l15S9YpMo3/rmDB3oYFv0nyZXVFl
R7npEryCyQCfhvhLo9p3BJNND1OaGvJhyNOR8i6OlUzc5EKdsg95PnRrhbMyr+yVhgmC8tJY7hpM
vT7zZBvTOP5QgiUFO59omPzBbpRcnqwF1XAGtRgnQEvnbUYvF0BUjK8dJ2xLMeTxYRkc4wPkUzm8
2bkLnOoD35E7Tl4xDvUpHSpBv1tF+SD4w4ryY6bWJqOoRB2H6LHC9Ln4ait0hJoDBhpuLG3+1+v8
96aemJP/VFRwn9Sfv/zPsS9eq8+/ERV8/8FfT2rtHbZ1osRJ5bD078qBX05qW3vnuOi2XO5RznHz
x3Oan0Cxs0WXoQTaYHq/zD4JdtEMU93088w2/skZ/d3F/IPinSQB6ARkrfAeeF/iZ35e28VjV7rg
LhSKai9bkpqBBFU8oZIueXy6+SLLabouFNTk2di8FLG5jcpg/9QjrIdyTfKgYbxF/VpWbMHUZ/w+
8EyJK8x4kkknWBmGHjuCBX0DnsWOXDAJNcm+aQo42fqsXbJZdq+uKK8tSdWsSPJtmygYOhPglixN
BmWjg3Uw/TqqY3rDVsvyW7tBelARSKAqzkqsnS69VF3PtateLA0DstvJ13oG0mbm7EwM4GndAHd8
g/mWAi68XTs3tsDcSCwZQc/VVzeHVaNN+F7MhMNw3BGIe41c9mJky5kdDjPFTCFUNX2lisBIA3/F
pAsoJu0N2PFLu/Q72pXC78pEvI9a45B2DllZKuDauo9Wr1JAig3iJZ+KVxs49k6N5b3a5dfbNzBw
CjJoKL5mzRZnjIRgJzZsuABdTkg4CyTILI+xkPfbkNp3WA4fcc28UQGQjoAxjSDZcz4CiF+3THJF
9nwxquobZnrSE+Jj53x+tBgvyMZ4SUR+iufitWsz0KfmjZ0IZgzgpLF85t/w7PWwXIyC39Uihh1K
T6DdRn5il43ZZkhoTXWmRnrNF6UnGOLY6ACcwm8dpjmZBSMe9vMANTyMle27TMpX+laKo01hNfBE
9LfXamDUh1BsLrJXL4Mu92Oynr9h1pVJPTd2DV4/T74KVFuhqaXXeT6fqRrNg1MjpshSPmFtLM9r
BPm9GKyCzaFQgrznhabUySgWjfWqA33F0PG5MzB4Jeb8WOJ8nZcKH3/SDcRSwsKdGL0U+vzm1Ot5
0uOUB3iX3uSt/ZLO6ienFbeuTInLBRm76MNhNYkgbufpcYVdlSLw5kIVh5g9l6eoDvKBYeJkgtNI
inUSSsnvE3mQOLlQZEIMhgx/9RICWq8+V7H25jLuI4+9Y7GAOp6pymPbjY/GXHwtVQhZyKaxSZTz
o4iAvOQpRCumtqh1LSXxNS1lNrN971plMbM1Xuq2ynb4ZW4a07DpL/k5PifDehauUlgvkAAX+j4u
R46Im4aR1scsor62s2QJGCFMd2JDWhczcHXkLlhk3WE6tBsHGyDTdOxLyznOk6LcIjQoQhZy5W2l
NAu0pWI6lUmLVVopxNug9R+XqbOuNIe4Pa6aOkU80zFrzgK3bAWIg1W+RjYebDIq0SbtM6OtnvMq
ei5nZuzBavQuvHlmT3MS3RhV/pEZJ/7cuUB2wXG3ijRohqULmVElWtCBmGCpP3f4FuqBACe7vQGW
cKmgbIbIbZ9rhelPz6I3nEbzda6W7q2q9JG7MktCOIyeYy+Z16yutStpnwPmOdEF7ceA9ZTLf830
t1qrGzA7JZKlSfWtWdd2wqaV5l1QCa1chqBqUSDphnNrqPa4n3UuuiW3X2zFuhn1Vh6jqfuqyO4M
s/ivSKSIvn77FHd1ekBatm+7sJ8hwEBYjDGTOUPtLQ4GsztJHs58k5rt9UrCg/fDYu8P4DacPL97
NZcDTaAANaC//CQDpQgcK2tB0xlvuIpKywG2CdJ6GVH9xSttVJefPtdmxWKwTbuKgvWnV5K2jdk1
auqDPuSvbsTTcHscZ4jzfdF7PUM30kt3f/7pfiuwI9wMOiYWCjR2YI23P3lPP4b8iMpNnB4q2jKY
Ccvn6bGeubEVYRzklhywfd6iQNrR83T785cWTAF+/3ldHFfgbLF5/RzQiVdHrtniVIe+7ESQMb69
LJGVbI+Lc1Zn+YFoizcJ536XS9xg2dRz3+IE8sBCvSVYKeJqPY8xuZFoAA7uFkGDuzzUHXmWFo9v
tqmNz0IBY392DZKDGPXpfi7jZ9VMcDHPxs0I6wHSG3EIJkCxDzEzPt9weDz8+Sf9g0sIaC9CSs3S
VBNU0W+/ZL1I3bLWDSSHer8zavVC2s8Fq3H7F9/o5ij83TeKSnIrrVA6/i6yyZWaM/MPuVbdwjjS
Sl0WBn6hynCCYtrNAny1cNq18q6Ylos9qOUdcg48G2v8tZ14Lm+lSgY9wMMCdo4VTDmuHB8V17oR
3bRPHB73ZkOCUhyj2G9nfX6JTQAYZaw3pEUu2AnUrr+v8vl53lJWoH8ZJ5SUJcKPoT5DAfkapYjj
qhwyfjc79X5Wsq9RvT478bhbBzoNEmkOxD0eCHRP/bgEoSCa+YwsqPD1cb3YSys8cqA17HvKx85E
yGZrfwkz3676n+9EA9Er0xwga+bPrPWVsWFrKMRZrxKKK+XEzJONnahFgLA4/PnFQYX9u9cyVc4p
5BrEy/2cltfpS0r49FIRkz3dGz05MPVfPTC/3Uk/fR7b0nQDwJDGjOLn2VSatFAjVRVdujs1uz6d
dd+IVmBZ+hv6mWU/QIvOdePgKvqNjNwktKvixCL0PaDMTw7rdE9Hf4rgJhOHKeMQT1yeTs1SXjPw
+UpOB26PKM0PoOxWAjdI6BjVtb8qUitEPfvkMGBh2O/ER5imeJxN6hYQ62DbkTzu9I54AuG2+n6c
mVmpevrVZKvntWl+Pc05Pvp4If0ko0DVaGFNrQFMhFpuUof7utIh5on1u+n5bf7f+At4ReJ56+pH
oJnxB3csvwsC/wiBVA3jZ9R1pTfDXC9lddAKGoUpKVM/HciV0rFZX4PXHbyUcgv5qXNTmrT0Ud9h
s9PK2yHjWo5yeLO4GHcyWgkjIe6VEZn6Ikk8ChzIfpu/7CYabSR+kXmTMBlkFciTqIHBE9jZ8oxd
8m3tVQ/k9gMxzVRVLR+4U+Z9nqjPC4WY10RJswdst3cbeR+b1uhl7JpRNPHg661Jeq6CQauMSDTS
iWVxm276Lg76r1/SH9wknBnb/5if0r3pv32qybhFdy2n6iBJ+6bEIWNa8nYMJnxRE//Fb0TTftKs
bCcVnA/BYw3/qfO7e7I1xMIYaKwOnd5XoWYhoXai7BRxUrkavx/cC2x/gS17k85jKsuoAOOCbHEK
wLGOLK+u3Ia13dSGLvM+L93WvdXifOpz7YrFwG3hIjRNXKr9uapFIJr+rczW+7lg6GpvhzGXWSzy
V1C0VKnkr2UrFM2xCrK5JmMqHcJpyJzdwK/0W3u5GrMI0HbovtthamW56GeNnHZNNA5esQ4JoS7z
5VsTFFXQSuSQ45ca5WM60Eg6TH79taXVM1f52A1YD+EWea6YHvVcu7RKehKCak2zx4Ao7QVxAuLU
kr+Jpu2CbMZpp8GdCLfbqJ/Nm9qWj1a8NRAm6V4OQCi/aKmW1Ci7nlmOBqyA+rBjbtRmJrfYELVX
8IzfiJYJJOwfQljS61Qg/oWLxZFRGC9ZMt1LYVi+qM3DhMlEmbLTtzC5LuYGHobiRFO8h/RUQZmc
uDC5Oyw5XBea+THpCUjMNZMV8hQIvVvAb6EpXLt0L0kdOwODvSkG4wVS01+dx9Yf3N7UOiaSmw20
J34O70DOCZXVYJbZ28sbyuT7XuXcm2izIsJtgq3++tZq14NL9J1Lpfftnq+SYbfIXnptxo8x0Ary
ocpCF7G+A4jahh4atz7ZGBVQqXE5FFuAzZQCcicbJg3bLdqmVQr3uumgAq0x5yLLKGJfeGL5q82m
QOEZkw3L8yQot9ROND5ChtGf4wEMmkNlHdMYch4mcGH8LKbMtrPxcZh4gqLlv+9wKaAyLq6ncbw3
zDHd14U1h2mXA9WU67lMJJC2Euy2ppBJXi9vVg9BpGuGe5vuALeCdTNxiNBkjo/Cmi9bNT/Yv56v
/9IE/wZNkKr/v/vmHr7RBH9v29lYgvzgr9pC6x0DLI0kF1eYvzAi/uOcw7ZDZySYXRu2/qNzbvPm
GBjkAJe6VIfb9O3XEZv+znC2VZglsM9teMJ/MmbTxU+rMOgVLNZAXlDu0pFT2v/2ZHBVtLJR1Cpn
wnOmOxx2REyiLz+WxUoUVDP2gQrw9V4U1rTHCrqGGiQfGNUOqKy8lo8LMMCz6PGXae3gcFWqk+nh
b6lIQdQy38bvHJL0fR9TKxrMILyItEjfMKpnOeYXqQMJymXM+n8LPtIs1itRvz07ywrDqJGrMRLl
Qn8YqpZmo9GxqfFYuzHk1D9WwgXchscvWFANflYVIOeOeKId+Soa1Hx2NN4t7jLcZ7Vl7ltpGpUn
srG8T7N1POEXac+LjZbSm9syx9G/sjMoqvlqkZZ9LOO5DLNsJZuApdBu6EeQNHm9WkHM13nTWYpO
8rMB/3uaAe55ZI3SaZIXsBxWtVNDtTFgd5mteaV2zqEo9PtG1Wxy/lztGj7DuYrmktMIpVfsDHqY
J/mCJMuJdoPalD4XTB06ldZ5LQZsL0WUiCqq8/llled1MPKdbSr2qeTk9COSV73RsJvdrMcsAudK
aOi0enB5ebE+tCY4Kbkkz7AQ9SfGltZxNuzpQ6XVOtmbrYt+QdTRTdMtuhoWdZJ27DWVRFPPUxWJ
9aHqEM2MYQqxXHnLi1mjKKqLUVnZDvUZrLcKUoiPm8KAcIf9ePBQny73raicGzd2VQUZOFI7ryO7
jQOGTeqB5/28t8sKwleqGZB1y2q4V+hxQBOlSpkMnrP2YmL0lJpXdt6p0IDge4VKvjJFwC0DtQcp
XX6jLLBOFM7SecZxVn/XVde/yKzz76pr/kObBrv5rsgmvW+w0GdvWm1yrzfdttvX6Sbj7qCfZfIu
GvISaHrt2KQp2Os0yZ0bsdJYCddrug1EBkfQepLq2KsPyrRYKMEBRRSli0+HHSuIb/oHSHVE39Wm
Ol/LtFqadofAvhp9rVC19zWWszuJ2KgkAolgyR0GuKz2cyWeg1QzMaUpJK65YbpMynOSm2ke6KuN
pGmwyhk6u4oMrXJb4HdxuzLy1aP7CkELUBPbbBvcNqR9RiaBozdKtuiaD9lFvV0naU07pqcy8sc2
YUKkEbPBillLDnWFlQmloiAy2BmXhw5AZeyhrZnf52nhopprLfGxTQxo53EZ37bJ0t5abeqEw9Rw
8CWITuGsNOo1BHQzLOOW7RL280O6VM3F6rvqGZcKDBkS5TZK3oIl3kMn0B31LIuOiWNFR6exFSqo
frBR7Q+zGWgKMTKeqlU2v3K8P1u3MiyeNoGCSdR+AMBlV5fWaeK9TfxKok3mrZtN8WNUcOw2kApN
3Arx+uHbU/7fA/GvDkTSmegb/vuB+PylY9c9/LhtEt9/5v+3TYbNiWYJVfuu/viPLsQWSPANW2W3
//1U45V+1YWY77YzSqcKZOn082Fo4yLniERvz7jGsP/JYfhTd6+TmUSPhE+dMhOBiLr98x/mayxp
xzUFf39wyOQAnUGyI2XbX4Wc/25yCMSJz4gdlk6Mb2L75z+8yv+xd15Lkipp1n2V/wVoczTcRkCo
1Loyb7AskWhwHHDE08+iWlif0z09/9zP3bFTVRkZEeB8Yu+1EyKfIAUSSjYWTWMiXQihhMxJ+9Gg
nbivPd8+VysUpqhdB/nXS/e/bQO37+uPAwxeHD0trTIfm8+H/ccXz7yqmkk1Ck+pE5K37Kt+4vll
8rrgxx8LdCefaVjLcNc3uR3165L/mg1OidhTnh1VEEp3ywhQbdAMHu3O6C7jhuvpg4J1QlFhL2Lq
DIMvTdebsfeJ5/GqKfqni+rfNPz/9k1ggMYRQU/AhfSnT1AoR6LWX8NTt8LZnp12PdRGDZvWn5aX
jrU4oUqlb8dGzWSe+Af5PoWssdwWjT0BReHG8yXGqu2JZhWahNcwzFZE8YTpzPQPh0CDt6zzkQai
WRnaG/Cx/od8yn9pavgeAt8LsXME1Oh/njL2jj2Oiz+F8AjkFCn0LBDuFXFX1C7/+dP6l85/e6Vg
m4jTh2+JhH/8xl2kl/iWeSWNSZfJMQHggxd0FzXY3YNwaRH/8+v96SZiK7xNGLBuWlziOHP+NGmw
zL5p0A/zemmuHjhR+t06kpn3n1/l33x+jjCZLxAhG1ikaP7xXYWK46IiIIYBw0SiOZ+atMP8VPbB
839+od9ZiH8Yx2HmsXig+tx4ACz+fCgUQGXCiWvwxByzOq9+z7Mn5JpZFr64pbYBPpgZ0iZMFOUj
8YHBtaw8zBHwmx+zkaF37brdg1q8LcFMQ6WQ5qa/1gjzT2klCTerGqjEXJsvOsW2srdX4bB8KiYc
Jk7Ki8zSAfIQIKnsLa9/m7w1P/3nN2n/HpL+4V2iumOKh0TKDzxCG//UBSSkirPmVPOJsFlkaimI
HT9Fb20A8CHprEdGardfc6WMyC2RcHPxFqeq3kyNphwOpVRYKct8yneIQqLOa9BXWWV+60Je/PCn
un6jgEC1M1lPJns24remytwr7BrP4LFIByMaAHdRNr+Q22BFTZovRwxAJk/zD46z8uQNrnuXjhaz
i7xtr3i6ZKdaJkTNEV1xwlKwoH3O6zizHPPY223wjLi6OBcGycuN2VFRIoz6kdFO7cmkZbgpV30n
K3Pqdnr1nWv0SRWqVATMUlsOi2A57j04ttV+MHG4lPiRXod+Q5DRlzT1Yty5uGt+Lth3GLVmwxb3
bR/dxAGKXnhoo1dYlZHhrw4mLVs800jVb1jzyy9JYg0uTxEuC8MmIKO7qRWk8TbZ/M0PGpL1akv9
zs07F0sxX69d6N15FUOfIcg3kEmdT3cj/dB37ITup+j62JhDBIlJ+csojeDGoJZDoJtTlfrqUtdI
AWEsdHhSwm1F2ty2CUnZ1oysZ5cqFp0GDmDEhNfb5wmIkxwZmlL0jC32ArO2390MBSHrTLEFm9XX
TiKXF6MqB4s/FeutORqYAJatKhM8X/ZFPdlHdsHBeVwd+1PhRrkv+Jya8yBGWgu/t59L54CBjCtC
AycdO9v+bJkjHcrMMhjmzRhGiSJULw1Eg30LKoyvZgYqOrfpaVrGQ5bZD1ZSjzFnmz6DlV2I9yP4
hG2T9dNWfOfKM+XDoqqbPAEZaEy6xF1VkQSdlArzA4k/SoiLtIp0J1LH2RXhnD41RXoDzfojA+N9
yoZBPCbmugDs896wH39aNCzRRBgO0TJe+EqeWHCwlTKv/XmccJeV4a7V67yvhY25u+gMylZBJE5o
ZBxR47Q3698S73bDXafhscTSg8AsSN4NmS38MnOCKK509gD923anRKe5uDTQCx5DGMsJ0mKAOeV5
NKaedVR9b1y54J2vB8J59oowqs8C0cLDmPc+/cECSZIJfSHvViR4HFO9ScO7mM45Q0t4Mu1cgI3k
dvEMoAq0QZ2F9T628Bfh+85YLg9Zsidxq/mhtJN+K3CT//T8fvlmazVd6iDQ51KH4DwgClwjWpdE
pQOsRmajzyMxMXfGUmIJqZYltXGg+715JqTAX0FjdYTf1CIFHW2s84ujAR6CssnOokR471StA6GY
4Th09Pxoel1znc8tQB+BuA5iBh7EZsQOnntzdwkl2kevHRdimWDqd70oD0mhly8Nprq9hcZD8Lek
KFj1InaqJRJO4jeI8pQnh7kmwc4So4yFnqyYd6wuvkc/PsFEj5CkLnTbon9bw8m5s7hRb5dcdGNE
gDzLT4Hm/5dZ4DAPK7GelqJQPzIf0rnX5v5rhkDuunF989kQ1BdVK7O7ku0otFhKPihmgow/+sYI
EWLXIRqE5QOkrXysUqf7VhR2GZFpNUVEL8z3hksGYVWa9nlyuvIg8dS8tkMPrT2Hnb8aGZl7hcPZ
o3iTnaT88qo2uayITU7LYstbO1uTi98zsV0wQCEbsckKIshWxqHSvHNslXcb4yNyR9uK4eVbsQPG
hbh7mfT4i1b+jRVW/VvqeZun2+Y3KcdQHLUeeEsGwZW7gXaZiKGycGNGM+6dycGwXxvA3nKw1pMo
vGof+mNyoVZx9zLxQlAwlbpoj+vVJO7zixpYv+Zaca63VncpkKLjq3Md62iKujtiLySWGknk48IL
ZJGB1RvGtN/xay+Z+zGh+EnJac+GR+FL/ovB/KMSAOiVn5nfRED2bwlzwNdde+wLi40P9aJ95c4C
VxGHgone9xazhnOQGaDUukS7qKsiO7R2ksVtMz6byeZKHIYcAdfkxgD8YBg3IezqLCUhUOolO/Lx
++UPhVsmu1Z93WmuZhQbw9xghALqJyLFEB0lb1Ij53TmhYQ4nKNOdjv/NZr+9+P9/xrW/6lhZRJL
4fjfN6zPv+bP/g/t6l//xd9Ht/ZfXBol5qwhKfJ/xZf9Y3Tr/QXUEbDggPpvszj8o121GfiipbQY
6G7lIuKQf8xuLfcvwTYERq/Prvq32vJ/YWOg3P1TO8dyjUuf1TdFzeZEtzbFyD/1kmLAANy1rThP
naXetOH4u75afgSzVd2upoGZ0wAQNLOlfvSn4Kbvpf7m6aJ7ki38JKH6y7hwjnUBCWZOOxrnJbG9
5KjbIrsfm874HH2/hWPSiu7kBAlSMtcle+wetuhiPzhOXlo1fs7K9M/gcwPrluNGtC991VlkRTKt
a+0j/B/024FEJA2xTE8rtE+85EPt7JKkLJwD8fQC9ruclOpeqqAZEBX7DdEoF8gmnoUsLQmH2M8E
2XFZ5VjyMlDdVIBRmpKydjdby8KojP2fefHbBf/nkvYd+0WEUfR7TjIj7Ld88LBo7l0eyCVb/OI5
WQxj1OzkSt1FWeu2n0WTBD9Tr0j9aLXIS+nijcemkTX23OZPrLsKSdZI5fTHkjXiFV3XuuFuwuwq
KXjecSz4bn/QAkxqvJIjyWawLYgdRK4ykwZV76rGHk4FaYmQWwL3nXbB2QV2mp3yPn9KqwrOyTwW
Nx1c81NhTa9Fi0e7wI9PpRUCqJrSbAW+m2Zv+ZyTSLPo/Exk2U3rqKsMq/Rbn9YNLJr+3q5nnPeN
DkGFpN6PYU6mnRqn97UgFwJEDIo1+wyN+HXWsLIWQCyAdZ3vKSyU2CYT7QmuHQ9c4luOxKa8oq9o
d2DZp2Pv460IrOYIsuCR5vkVI8tXW+XD1UrBuCPa/XbNOh9b/PDe1v2l1m1zKodc4qy1o3mtiYtG
oX4lpTAPQHnvs7RugeSWr1IYVDbA4OOy1r+wrXk3tbcm91OIJx33okGa5LYwByVVAl0/OtohQ4My
w8LuEmmNYT3FjgrfXWfXyVipm2Dgme6jFTtDHMgPzby6u9FIs/3ad8F3DK76WGs3/x5w1l9mqJ+x
7FyDVcXiYO5PfyV20t65BsTQIZ+fqPor6mT8EU0u81NT4hYfc+Kc7XZxDWJix8PA/uTMuZAdFFzt
Q1q7wOwzIzxqb/oFWpcQ2gyNLn52CILpmDdQR/PvLSbDvXYb8gBTHl88hfuobYkAZtq/7N3VgFAl
dBXjFMl3gTU/m25DJVOVr0aVnME7wXntWSa7g/FGIKnY2SSNXrIOmTIBk/mXjWP3Y1x9hujs2svJ
KXe97sBdjYsor4E0jVeeN3DHQ2rpIEysxlcLFwITdoBxAsRSQL6uKjTI+wUV5Mkqxfi4mBSmT5VT
Mt4VVMaIDFGngtPxDuw7gziBFk26CUjo596rB2y95poeweRa7M1TVe+R8PJqXFjYzVnT/xirzt6L
ROt79IJk42ouizTUlcl0bF5+dpJDNU59Z7nA4G3Q3U1kXx4HLq2ZTGpPzPuO37bEQTgNX2ZHRiVB
PglxWPM4Zl8MnEPutSnsmD6LTk636Bb6997lamEN4lCgmboWV1kT1mivA4lj17COwmJM3pV0w0vh
Hf2s5ZTgGb1vBVEirq3HnS1XWgjZ2TGOcHJo0yTfWcH6bTad8BXOKRHMhfHJLfVmrbnYEUPYwl4j
4MfonNtCUI2qyiquGiP/mfSBinJL5q+1KjAle9LNb1i2azrycSWlENzbPblWL5jLS8yRoU3WEcXy
xQzhgfi2vtZYyR+R1BtPpdP7NCxuzpYu7PZrHZJxPqYkmu7gAIBSb5v5QBYMMb8J2eJDMhAGMwzD
bdVnLVrUvDm0hliOartr0eV5D3Cm7UPSkZpMrhFcs0qDSWJTni/9aTJFZhFri1uzC9ZghzSweZjs
5b0ZURs4ug5/oAR58GcH12df2vpkB8M377cnVLAgsmx9diozAMoBAX83MFNAaeY4cWEMxhV2poyh
HC7URqwwBNs53y1psJlZTc6DYLnNMQjfrYbQN0seFrQ+I8TOZgau3bNW0b41xnhSQbeFzrwTkxXs
w6IYd9JUx8VIEUvZw004cmohsFpQjJOQIqjWzkPpgLWelLtLzelxDKBxlQFJYURFgvsZW0aQ83w0
li48K6GTfYv9bsfYr/6xbHZgYaCbGjeLsIRqRMTN5htGOdM/g14BfxcgBWG7GUb90J2x3oFKMeTX
3PkvNcT1mKZjPIheAhtbgL0bDjtBWjeITgivL0bZ/SQe54YUihFuRFXBAHMJo7H85g51mQASwBfb
iIVw1c0KvW6maGOzR3eyIX2FwLh9kOK8MwLe81gCQrLqkvOu8z7WzWbdbIbrrBw+rLYsr1yZYM9a
mH4k9rSgJyvoeyvdH/vNrz2V5dfoVeFhlutHKvmp5W9nN3VvQnS5meDRKzj6y5BEe8aRYOcGdZ+Q
abDPNnP45ASahzuWSE+k7/iivwii+eUMeXWoXAoGPTtvtRoz6MR991oF/KhVgUGRmNe/1Ogg1+lx
UDgcojt/c6q3blU8hFYrz+K3h73EuTBhbR/rREQcplAD4Tq9BQsTHmewt/Bx2CYpG6pixh4xenn1
3dp88/XmoB9hSx4K7ROuC0z2gDSmvkZkBRBxIdVV28v3PktIdmdtv5tCfgeI/GUsMGS+9sJa70sb
nB5P0xA9ZeaPtP1TKfn1Nb3SO7d9OZD11ATPne/yb23BAm5Mzl41T3tGqenDCKHq3gUX/w7u7sn1
vGkPR+LWsdr+ZI9BCksrKySS4IQPmsg354XwMhCyrqdgNASxsyaehVnVT/mm9QSUYuMj5J4GNZa2
1k+3mRuSt/ied5Y02zttrsNJ4NI7+bMbfExlL95HuAyFTIa7VdhGEWud6VMhB/vOrT0dm2tBuoIj
JBt+AJCo/zXLeRQ6XBGifuyC0H1EEd2LPaemQYlhSWvvQjL86pVN+AQ3asp3itC63S2+8o5Smi63
TIMW9UT2zTru4VF4EaOEJxwc455l8TVz7+JbD/z0e5N2l2rKkpWWFsBcl9o/aQ1d0rly6wcoEaA8
mPvYYxq4cc9y2rgdeZnheGVqMv8QG+FD/mZ9bNSPhMPzBhMiIeeNdw8X6SohOcaPNI+D+YQcB2y/
9rT/M0n9ep9ZvX8XDm7+BpfTuTGJvI6A4VSxy3AfnSBRzJHqiJprB7t9VLajyALlo7idSytgiJC0
IGoGOWLCVwEMRvIEoaZs/JSUQPND4sNVMTfCiuT3Qv7pGcfCRRl0RNOXv3GalW884sZv1TSLp7IY
SEQo/Pws3ImKN+m8S9dowkJyFMKQy7AyvaYWcMgrbSz1LlyZeCAl5YbIxFTGxLGGhLLjTszqmeT5
2WlkBLpIgAwGRTOs8/AmgnX86SKPO5EQjr+zKIY7J83US2u7quT+a4shsvF7lrWLnZHqCk2jgsNf
0D70E1AaTtg9fdIYRmsobZSQlVx0nBfcD1cs++o6xpnJip3kEu9bWm48H82OjOpndEJuRAX1Z1Ee
CgendLxbzy6zd+1PmLBbf3yq1mYxIwBJxg1yjvydLrs5qCSonahe54ogwEaQtFukwc5xmJju+g1d
JJI5eQC3jICi5njFe/Y01dTGpHGN35sNgmRkPiaWYU2v1G9M0m9i0lDr+hnFGbJY4VvHaUMrFRtk
aamHLGrTrtpLY61IZlTELUwbnImMTKUid0W2UaA4i3Vhjtd1s46AMAoyz5kg3VvSTpbHwC9Uezen
GdvwMJ0FUS971koWxUJNctrSE04wWhboacrNfCNRl8xCnCeShX9TqscFFYPq8fJmdbiDfw3Tupod
Y49ww4wrSA4qsvuMcxQjwUzp5NmnIfPcNyvYzCYgtaV/wjItze+hFySRMIokvc61zjsYeEIVCPjT
KfKsUaPeR1nA6cN45hqSlzyN+Gof526gFzDJZFldL4v0sIA9nZQ8K67JaBzs/FoWbr5PrNH/qlXr
/BDNlqOnclLsjnMtn/syTPJ303TGfe2EE+Fj3qZ9X1cCzNjg/UJLkZ68saYENwmC3He5IoGimESc
kzUMzrWHI9lb/fopKKyvpkVi3KM/bn0pji0/9rJa3fAgZS6J1XDqx2ky3QshxdPeqh0ZuZmJO9bM
apsZP3thZqlUBx3JF3MJGFCpor11nK4mVsF0XnqqyHiY55C5l1nEKc86inPYRbOlhnis/DMRcDpq
adwfUbeEB1UK69N1ZuLpSyWZWHEyMSoMdj4G+2Oe2jpSLVslO689vt4+m75XIdgv+EJ39pyFP0UD
TIXfBPmKsPbSspZTZ1YwXccxvca4FMwILZyJjEmvO8hwduOOpEIMRutGkS1yvGBJncWYEDK6EaP8
QHVFmHbo1ycjT2y4JzxJmskDIhtUhGMZwljglNj2gcQCLHehb9wN9ro8yik7jSSY3swl8H43bWxF
BW5UcbVk2S8pPecmSfKcg7ZLT0lrcO/2HPyks5MckzEoVBVMHCRiPHSm5QGsZXir55TAHBLQTqWX
uzHhlRyYfYv5WJj3AQk5u75nK7AfN4KST1hsQ5I3anezC25Lllf7uRZlbFYJE34s6u8gx9BgTX1D
HlCe1Qze+3c4WCXWqeDouLNJaIjUPwXT5lOAb/O81NuCj8Yzh0NCBPnc4KReMLnvABx4kbdWn25o
ZzFbKUyHzfxNBjQRaRAta/eTBc23vkAPV1mY62OWNiW5rbYdA8EA3JmHyQW/oPvJIiBh6Sa8PTWz
KfZGMxdVrGBBjakzk8TkFQ1XS+8zBS39vaWc/LpK0/Ke+YMQ0UiiRhBrZty3/UC9XQhNqtI2/pmD
Xp7DrqviddLsG4tA/JoaWrRiKPQJbvwYTUZngb9BIMUS78eQzcPFJwpnx9LNv6BJjLJskWhzvI4H
sIGhyq/1w8qw85CS50q/Rim2NMh+nbWoz6QB6XKf4v550+A3Wa9PNzYhwq+UUs+50REJA3j2KvNs
YmLnlcKxzc7JtHaA+0ZDRY0eP0Kzw/C62LussF4bgyOv0A4DWU8F+8m1g7dshjhgd4rcWxForCaJ
+0w+FtkUa2ldNUt2nRvN+yD9HiJ29sQq6ItlPPXfQnXUpLJ5ylrr3c7Y59q6cX72QKkikeJrkkb9
OrNy/pKyRt+WNoEHZgzg196Y5UiIo1c/BsuAKLFNyV0ZZJB8aDEShDhrzSYtXKbHDqxXiwA4IeSR
AcR0cHucFBT/pOg51QxDaLTDx4YDC2OA7bYeby/xR4jP2WBwJ9SxJ0p1IR2PnPA8nWl1koivSvo3
DNblnfYchgQmPv4d+xog3p4FQw7vBgrmeBSZvMXuHZz5D/6obIIvK7UenYJ0nTLIs9/rksvi8nA1
7elHUsqxO5ZGmcazN8Ie9NmdudV8WXO/5FY3XxWPpH1lQvUbrW0WKBuS7kII2L7pscZ2B6o8JGub
ccHZp73FkeDNSk+nogVEq7sPoMEXjE6CMDJJ4GNq3CQhkaxrBaMCRtZFmtAsJ7v0Y7/0qot0Gf8B
Lur3DaU+ICj8LwlpZCrVD2HR/xR1zhWfLC6y7eahc4ARMZjxz40D4c03huxI78IAca2NO9Slb+gL
+6shMYAHKw+XUmU3x0zINM7b2jzNBc2Zcsf+TLCDYHIxtDtRuj/JCw0fRkMwhkugOWXt8lGmRNFa
w2IfECRiOR/s7wnqiqcpYJHizeDicLS10y+39/UTZx8rc4+ICZ910UV1DKMEcli2B85NpWDSRnae
g3sRZXkKvebGGap+n6y2g8UzR64S+zi/SCEUWXnpeD6a4cp6NF/kZ2+2LTk+jg2tGybMD3Szybw3
l9L4bL1a3fmiImmJB54CSOjPp6AsFBpKWiR8mkUWzXl6UYaTxna9LN+ps7i1UiDlOYGLd+1kJzds
wcYfRu59kUi8yF1IUMSlYwz9sM5oWl1kNs1e5mJ6CWZ3vLeszFlvN4OY3E1+3R6ZgtYQ6Abi1WDf
eYcNruOTAJzPkSSKXO1JHpaQAlkzOiIxbsmociHF8DA45Yl+XlL3hQrBfeqStD2k3TKcuA+W2FM9
4Z1h8DoFEHhl1lhPqSBzss/su8Dsk8963jRIdRJAHbFIL65o0o2ryaKoua5I7911CAyuqCGG+QCh
usU3n3vjxWk4f3bewAb8mCY4YxgSVdluYhZGTVPDKGlobijvppZcEBAv6lVJp7tCrBvA0WuJV8BB
xYxvkQXmZM6Fd49wJfuWiErxrPkBXhR04/o24uvacRsnDI0YUGdYIolFsEcJLnyDDe6FnCCkdU0O
p0xKFfHACneDGlMqJuAl+PwG9p9q2CohTpn3uvT8DxgoAbf2WAwnGWTtDjxzR9EaOCDFUqPSeCTt
+ckd5cDwSSBK2NGGBXwTRvha/c5jzsAWorhI0J4yU1selxIn197mRovXboPR+T2N90w4354StJaR
tuUXyJYmZkXwsBiU9StklIskRT1y5Qj7OU+6hznV1luxCaojFy48/bpr3vdda8JE6XTw2GPOp+JV
aXtfwQp9M2AbXOysYy5Tk+t7oxZjeCulIW7ZSi5HS2Jwonnt7YceX+5jaCS0LwouzZVhZNb3pcrL
y9AHGljL5rWZrZG7tG04Vne1G8BAC3o2hmxLC27KCZN/NE5MBXe2wkZ0y4R/4HkSKrvCxWstLqCh
yeWbrgkFG1RKflbZ369p72DiXiT7ScZQz2L100vhcFQiv12+Klmb78StUait3oBzgwETlrEwT9Hz
5N3b6BGUNRk8ddPW4WHGJRXR7OSxSPviKI0pECgy6iuVzP4WETfEJGqU19IEykVlb4rrFufUy1A0
AzEBc15HmTEhVlHEUNhgMh9k2clbHHvBqYbkG/d6lUcUAc7eliVXiaHw8wQYTL8xvTV4iE3yWVDf
Xau2mw7jQPXPONNnSmNkjyQ9630QptDK2WXsU9nXN+MQ/jC0acYcTrA/M3eIDBgyN6Hm1rAL/H15
Z5/bzAzuwUHM52lxNW4qnz0rUh+IsXQdIxXjnnmzuvRZON6A7yuv0SR9b4LZjHWCa7oIls90qclz
c0o6A6LxcAYkNbMytbxCrU3QLZpZLK0VjR8X+jHThG4gn7POZd8ys2nLZrEYtK1RZs9mhNEXBbGL
T8wQq3rPcXDuaRVYjKsZs6Nv9uN94LfMgc2wqqLGtXT1OLsghJaMh03hbvnSpNiV14aPlN5lfcOM
FQn/0mYHk9TuXdgSuFeu/H+RPPT2vNxNQ8McWJevYW99s1MOa8A4cY4vLWJS8hk2CtRsysJjAjcU
9UYlogYn68EyS9zcTg0lqnhcA0mrgPYVnxBkX0SVd1BCbfBB3Zvsu+IeXNaJffSJwmo46tXRH8bM
GsQCHogEVxzESoU84z87Ss2DmoTnzzosuodp7B7GdgvoFG3Ao93cGsGsMu7QrC6gvFBidI2wrjHt
/3QMf7zZ1DikIcwOLIMVh5gD02GYXMwL9XytpZyhfnRv/7e2/v+B8NnIQVkn//dr67df/fD/XnOV
5n+i8P3tX/5dbe3/hT2S50HxQMKIppkf+rf1dWD9xYPWHDiYfsy/IXz+rrYWLLa5NvwAXI0deBt3
52/WI+K8kFp7mxYy3BbbXvi/UVt7wb+IOO0N6Oe4Pgw+h99yk67+0/Y6XZypYs2WQe/wx6s2aOBJ
4+btr+yFUU3lDEh+KJbNx94EiFmnRGux9owwUEynMlMMIZNk9A9qCNVTGPB3QrsKX/NgqBj0c7zZ
+Ri2V+3sdjhV6qHEHZ65Z5g3vjqMxZise9cgh5WDwq3cnVO6bBFDZD+urOdTB1e1CUo2xGphQ5DW
QfpCKCVpONolbST0im9w0V7NvsKu6iT98rJiUmD5WC2HXBsiGpxifEin1rwMbZNz85GNzZ5leyQT
IwvWbOnya/6JKdH/+vrISv4hT2TRR9lcTCdld+3NOi0No1FbvK1K6auCyfAz6jv7QP5Adm+FPYCQ
kEX/Drhc2cdW7eX4R4rq4PkuRvBsWuqnNGMIa9kzbLyeP6YeNa/IBX1pS+aOaTDom8BZWK9Uw97o
QMClutWg3XJneCpl4d8zvbcfEoyZzId40piHdhm3iV1grFE4JiGEEu3ElmQC4cGVZ2jER2j3Axmt
bQjuk9TZXTLblD+lPJmA31nhIecZszs6Az1E1gIrNfKRD+4dd2IwUaWrg6RNbR5Uxr+gIdaBAPPh
FE5brEOPzGpHQKkZG9oie6hY2JSqvnH5Ptzxeg2s01CI97yA8T7yXmK0Wq9Js4hLOKkXIOjOPsSm
9bHFwV3MTJLTumBmg07AU21wIaCl6WPvQHOPtE8mSFDUMFsaEjb4lOvM38m69ZCi9h5jfSPZpoL6
PVGJ9UBiVRG7qYeDbJW/BgucE6uo1YuTLk/v16noL3OI9LXw7D2Ij/kaoTAWX9ODytgYyYNpD9/S
vmV2ggXmnHkqSa+mQVT6YQ7TtvskS6r/EFM3fjEpNR+8WrpXm0HhqfSwjxtuM167fd95+0HXfGST
rNXNaImPaXbGW4OKD22f+OU0NYrcqSWmCmfYWRfOyCiCTJWl4kkY1WoJ3gnaHJ9XYwtW10kVex3y
YHaI7J1OwhldhtIejqF91UzTR5YiL4zg/+bo/kldR91RKICXfMux6w+gujDtChLwVhhEJE5ey47U
7P1sLoxbpXU/ueb72ofvQo1IHu0wVj5FJk1RLsO9gw5RHRknsIpNLe8NyeVzmshfgqZ/YQRTyRiZ
lTi5lcYVjjRDMpAKNlSSZwHW4OzgJ6Q7nyHnbU9+CoXGdJ7NpkawzZp+ZsDST9ZNH/Ysp4METg/S
Nvle54YcH9Ww+PxK/aEwxuRe43Pbqa6ERagZyvXamw+joOx37OxcUh50D9ZqQTMcE8Qae1xUxRWM
Puj7eS9Zm82w8W56MmJi32bokZGsHHdyoDLy6UFN6QVvjqoXdzesV6TvGaeURIdjGVSboM0yDm6y
kPAslunQbOnTgLLKb7NrE8hddNNVkPsHB3MgrIHFZJjAEG9XqsJ9gBDKVN9jRAH+kpRbjb606Gq0
dSW1SDuO8qghWey1Wac3k3YnPoFiS6aphHt2h0DdzMiMXqc0ysYKZEiZRnXVS7DsaRvEs2HXh0Je
ecv8DQiWF7Wqt87zmqyxy9+6qlzR3piV3SGXc4wZOyNmNYHG0LX9c+npgJNKdQ82dfdz4JLs5BGp
FGUuA/X9ItflmBisXvZhVZZIVzBLOrM/XdFPoC5S+gNVNJR4PWbg1PxQHSyXdg1JyG21pssXinYa
NO37B9LdgJOyjQd+lPQ/WGd3kedn7IMyrzG3iLrxTIFZ7VsCuq7zavzgweIdiPfRp2btJu5SBpYr
3ds0ISCv8+GH1fC0iX3H76+dGoOoTs2n1PcCMO3ICHLkh3vVBMWRkNh6l63qBJ2feSsPWACnoMbM
xiCuSjXiLBaklUlYZmdvIr0LLaS48gbUoTyxg0MvqcNG3wwJo/RzxsjVY+KhxPD71D9OMmQFgPDi
a2Qntm3OWKXVkrMXYlwV4c7ozh3EBUAfKQtoMdv3ymz3RotmCmGJs9xkMs1vczEDgK+gDEBCCyMX
N+IFp0hyoE68YhvSEb019z/dViGxqeUUF0iVrgcbmfM6OtlZreF33Oz1OXUhlIcwXMdy+l7XZIwJ
c6HkH3ncAFU/B6pPT+NU2cAugluNRQJNvX1r1xYj/VG7D/Rl9UEBjf8v9s6tOW1licJ/JZV3XLpf
HrKrjjG+gCGJnZSz9wulgDaSEBK6IcSvP99wcRAQJ454cJ06Kj8ZGI1GMz3T3avXmlTBQyFlrc+l
F3yCJczqQrGmsBrDATm31fUSPRK2Rh+mdcoqMgO9uAxpYfLLaBkv0KRKgVV+1aaktsuCcX1IYMI0
uqhIV0UfGvRJ3FHYOVPoqJeE93NJrSbEIyCBkzqEuldSxxva89Uj0Sa79a1ck2n6polLgQcJm/qG
bxM1iRCFNDOX5eoWtMajTuoygI1zxVEmg6B9sJjKlDvHugwTDgLTRJfkdOZWAAWQdiqQF1RipeVd
zYN09aSSzX6axdKya+Io9QoEDm+SqlUi+zYzYdcjxrPoAhAuMf1hxBgsvPy2AoKPBCgW00IExKnI
a11xngu6FJYV6qVOvPaBfB1UNQJWBKdVxzTtEsY4azIGpdeC1Bta36yykmvKdKEOI+8SXc4izOs0
URkgGIaW1540mYCrG4LiCkQMAp1oDh0zVbAJ4nZQI44vUMYF2Q52N9w9NNPVXjovyCzkSjoHhahU
BbBndi6JiCh726VVeVbQzkxC66tp6HWrTI6IC1rZoiB6WRW90Ju2qEBJkNaQhkRZLyVVsz/KKAjm
7ThfJf71VE9gMbTsFd6LWpBwpO4UTA9Mp1fQpwafLS9NHgIbVDwgxsoHn2HrABaGy+vUkozblewt
F8B7lgsJEsDUFEL2Vf4UQqNyNSR7dT8LLEHzCJLiG8RuqOBl+o0K3oLk8SoHy2tFpcrv/SFUvoBa
0E8sqYFG+LKjLltUqVeACcUJiCTgDPrNO83XpCfkFIQ7DSsunLdgQK6Bm0UkMqa5hOJynn/DeK86
KoMEa6T8negCaVtTl2aXvNEh2aGpCHDCU0LmJi+CClyfrrRzeHvmbc3wIL5LMguA99QD9aJ7/ble
zpFWmOX3ZWHqdwbqgOAYVEv/nIVpMe1kehTeaHBudWxeWhfcX7K4CiOtGi+HFkJmnLm/UvBs9oaa
FxltapLN+wzaAONqOJEndh/qQrWtVOa3HFrtpwrMNbh2XaPSGDC4stSlu1SpVtSuU6z+tzrXFmU7
Aw5K6ZuJHUCXsB9SHuIqrSHYcVQpHeyp3/XLFnT/iYZw0ALyRBQOZyZKYImPNl4uAcSZAKSmQC9X
H6DvVju6UcIeX5nTzlTz7Rt7SXWITlS+tzIX5QCEdfmQEbgFNFou27j0iIdRJe1UCWXYUEbG2rXs
g3ojdTRPOwmsNPA6gzNSh3kCPxCyhMpCMscKhYP388xfDSw4Bh/npYyWCPY8ADEnA+uJpPDbRJbC
CXj0wIbicTLsQhkldaX5MCFwrCc9KZkYn9VVXrZL6gfuFKR4O62VyF6a2rxTQVbN2R+mf10fUvti
5t4U0zyLrktjrt8EYSu6W0qcxed2WH6JU3iGW1LayecJjNwTYl1BMFsMAtNUehiJBeQ3HovFJCGU
IdbUVwldt71WMgdjGaCJTmCOsvNFlVyC1WStp1rQmxNh6SC2lHCAysORNzX01S1SKyXBncKgrCIu
x5ShewiRhvayv1CUpXpdplp8/X////f8fygTX/T/K0i4o0kNuA7fPr/Zev6yBLGIjhKvIRFLkAl3
P3v+sizzEZF+9ZlYZOf4izJrScHl10zEgm0RLtg6/pp0gckjvigEpYkMQB/1Ctz6QYUoxce6KN1E
+kHRkDJSRVhgz+0fFig56cOkHBSz8SQLiTt93xuNEwXCPPh+kfPRDQ7iCulSDWfzJTewAuBW1JIV
tuMvBr4NpmX88q3W5GJ7hZPA/y1LkB1TG4rsuH7IA1lRVBXqoSb3Ax0wJepGs5bC6gVEaCnTRP8n
C5YTa+TFQyuXAA8jPLsCuqVXftSVVEzBbBxvmCYmHKQk27xBMVi6gWixcH0L1c/ZfZFqWUvrSQYy
tmFmB8P0ixVQl2RorXj4pUry60Dx9W7GkeFTgAcKNjIYJlHexlahI6um5BmVhQH17mW5UG1C9OEs
8aaPia1MFimVjhFu7hWdYF8HMUG9blQo3VSe+1+rZcguPEwKgJELdC6RdvMRSuuZEHxc6cROB5YM
Mfo/lJ+BZ25NgEbDZZIix6Jr6kcCh/NVL8jJHz2WYLu1qKMuJvDIz0WJEIh0MKSpn938b1mNbdXO
lZM7nbU1+Fy4afXgZgXgid2qEp9+iv0o/wJCM/fz6rVfermhd/sU46O4iHLRA7D90b5NYXXuLYbn
Lq278lILoUOPi7H74T2yHTqV5yZ0CtL6ggMzRJF7+3HLRpxctlSYjDRBTQcR8P67fr7jiUF4+fk2
o/nyd2pP4IwxqFc+QsP+KK+NAVFJyO1qsdj1izkehYM2foyCplyQqFM0FY31U6Ng6hdYaQnXdDsK
2CtuuDdRfjYVXn7CM46CRueajoLKKEAZL5jmN1d9LkCke/FM4vHGnl8lnd74+c0LbV1hT1x9fbFr
7a+FzfMbBKuo5RLX5oZvaBbIaKFykGi0FhTrQhc0K4SLNxdPuT8KJCY0i0o7RRw0xIXFeFtrQaUO
+bCo8LUWQaUOkPwJ6CTq08TFsNZGwbggXaMYHNw2n7+5uaAaa9GkRnNBQyVKhWtC5bB5yiJYiD5B
gaeDn9uMwpubC9ARHWXqXjsXOFtzDha74Nb6U8NZmws2khpYTUHeshulN7YiNEPZbFkbHqLnffsV
eyQnBVUBjmQoHKHFdbAihNtC4FNRSGi+NYvABOWdNVoKZFap5CVVK9ubxz8wi4SFEZWGnAVqybc5
CWDpkzfr888nAQZBpSjaZDlsHhIPdH8pkCUmbW2rBMA3FvgNbY7QcTZeAxZeNsQHpNZPTwJJv9A1
0KfGmzOEuLTCjW+2BjABugF/t7rdDo7ePiX3Ovhec7trvmJT/I2J8ux7tT0/HK+9Lt/NTvldP/vC
7jR+/PnW17gbf3gvnKraFwWHwebeP5yyv2q+xNoT2Ptw5xms77P9+fYBj29du9fuqXb/vPXd1IGS
pFp/UG27OXBm+G7/CZ3vzszZd4Y4lzLzfvTkw/taP/fe/y8azqYH7Qr+rsbtoqQdR/WGbcH/0Lzh
qRNldaII8gRMv6Ytt53Q/zdOD1A8m/2kcdtxGKfOON71Uky+jZFq3nIUuaPcHxU1V5m0ESu2aeNX
buiUTuruWhLdRgfsDIO9c+/fxf++I8RWzL7XJUxhxj/DLITGJ/XH9Vm48ZuajsyNG4P4qrfMRkHI
pGnLt4y47+/aESOOLAm80o0bvhs7Xm0Cbk8JTTt8h1ZYFPvZrofrLm/O4o2bjsZIa9VHGTkDjqON
W47Lg2ZtS4Tsf54SeN5OXzKnvWPbZMiKfIaG6Vkxmla7ltaDLOITu3+cZN/5rT7fx1CQHQ0zWidn
2F76jh/VrIdghz1Dn/tOWh1pKUoEK5oPR9/JMmfkFZmb57U5DR+7do4h8UeeP3HqwV1cijOs8L7P
XgCmujazFbyUMyyYvp9l4o/Ky90YizmoyHAK7/7x53NQtB5TArBradv0WToOCfKBDVFk6J52t/rz
Tg/c76lzcHqC6RQgbmM7MnAXTn3f2h7qmxqogVu+u3Vm8wzi+NrCpH3BjXWO9rtumrnVrq31qwT0
fKbG++7SH9W2MfTJRST0HD3/O06nu5a2/Rah9sZNx2nuvWs7KcxL9d0MkgQh13OeGxyLX9C8UMVq
2vxHz6+PuMZsOUOz05ATSd2rUYjEnsHIfkxdhKp2XVy/yk3WpOlQfHKp7oHn0DlwE8AyKmfo9690
ghseTx7XIimnJqKQSTnDK93c4HgiiubP4I98YfTdLHNrlmubA2j6Zn9KP9hwzL/mjrc/EVF1EgHa
pt19gd6/YYdP1rKQFziDIXly2HeiCSUWuwEQS3Ob0Gs6Ir8sxGk4Lk9+NoqhR633fZN6adz3n4OI
Xuz1qUjTc7L6OP60S0Kf+lk9uCa+MQpdJ/3rvwAAAP//</cx:binary>
              </cx:geoCache>
            </cx:geography>
          </cx:layoutPr>
          <cx:valueColors>
            <cx:minColor>
              <a:srgbClr val="C9E2B8"/>
            </cx:minColor>
            <cx:maxColor>
              <a:srgbClr val="4B752F"/>
            </cx:maxColor>
          </cx:valueColors>
        </cx:series>
      </cx:plotAreaRegion>
    </cx:plotArea>
    <cx:legend pos="t" align="ctr" overlay="0"/>
  </cx:chart>
  <cx:spPr>
    <a:noFill/>
    <a:effectLst>
      <a:glow rad="127000">
        <a:schemeClr val="accent5">
          <a:lumMod val="50000"/>
          <a:alpha val="40000"/>
        </a:schemeClr>
      </a:glow>
      <a:outerShdw blurRad="50800" dist="50800" dir="5400000" algn="ctr" rotWithShape="0">
        <a:schemeClr val="accent5">
          <a:lumMod val="50000"/>
          <a:alpha val="75000"/>
        </a:schemeClr>
      </a:outerShdw>
      <a:softEdge rad="25400"/>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microsoft.com/office/2014/relationships/chartEx" Target="../charts/chartEx1.xml"/></Relationships>
</file>

<file path=xl/drawings/_rels/drawing10.xml.rels><?xml version="1.0" encoding="UTF-8" standalone="yes"?>
<Relationships xmlns="http://schemas.openxmlformats.org/package/2006/relationships"><Relationship Id="rId1" Type="http://schemas.microsoft.com/office/2014/relationships/chartEx" Target="../charts/chartEx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4.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8.xml"/><Relationship Id="rId18" Type="http://schemas.microsoft.com/office/2014/relationships/chartEx" Target="../charts/chartEx3.xml"/><Relationship Id="rId3" Type="http://schemas.openxmlformats.org/officeDocument/2006/relationships/image" Target="../media/image4.png"/><Relationship Id="rId21" Type="http://schemas.openxmlformats.org/officeDocument/2006/relationships/chart" Target="../charts/chart14.xml"/><Relationship Id="rId7" Type="http://schemas.openxmlformats.org/officeDocument/2006/relationships/image" Target="../media/image8.png"/><Relationship Id="rId12" Type="http://schemas.openxmlformats.org/officeDocument/2006/relationships/image" Target="../media/image13.svg"/><Relationship Id="rId17" Type="http://schemas.openxmlformats.org/officeDocument/2006/relationships/chart" Target="../charts/chart12.xml"/><Relationship Id="rId2" Type="http://schemas.openxmlformats.org/officeDocument/2006/relationships/image" Target="../media/image3.svg"/><Relationship Id="rId16" Type="http://schemas.openxmlformats.org/officeDocument/2006/relationships/chart" Target="../charts/chart11.xml"/><Relationship Id="rId20" Type="http://schemas.openxmlformats.org/officeDocument/2006/relationships/chart" Target="../charts/chart13.xml"/><Relationship Id="rId1" Type="http://schemas.openxmlformats.org/officeDocument/2006/relationships/image" Target="../media/image2.png"/><Relationship Id="rId6" Type="http://schemas.openxmlformats.org/officeDocument/2006/relationships/image" Target="../media/image7.svg"/><Relationship Id="rId11" Type="http://schemas.openxmlformats.org/officeDocument/2006/relationships/image" Target="../media/image12.png"/><Relationship Id="rId24" Type="http://schemas.openxmlformats.org/officeDocument/2006/relationships/chart" Target="../charts/chart17.xml"/><Relationship Id="rId5" Type="http://schemas.openxmlformats.org/officeDocument/2006/relationships/image" Target="../media/image6.png"/><Relationship Id="rId15" Type="http://schemas.openxmlformats.org/officeDocument/2006/relationships/chart" Target="../charts/chart10.xml"/><Relationship Id="rId23" Type="http://schemas.openxmlformats.org/officeDocument/2006/relationships/chart" Target="../charts/chart16.xml"/><Relationship Id="rId10" Type="http://schemas.openxmlformats.org/officeDocument/2006/relationships/image" Target="../media/image11.svg"/><Relationship Id="rId19" Type="http://schemas.microsoft.com/office/2014/relationships/chartEx" Target="../charts/chartEx4.xml"/><Relationship Id="rId4" Type="http://schemas.openxmlformats.org/officeDocument/2006/relationships/image" Target="../media/image5.svg"/><Relationship Id="rId9" Type="http://schemas.openxmlformats.org/officeDocument/2006/relationships/image" Target="../media/image10.png"/><Relationship Id="rId14" Type="http://schemas.openxmlformats.org/officeDocument/2006/relationships/chart" Target="../charts/chart9.xml"/><Relationship Id="rId22"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514350" y="333375"/>
          <a:ext cx="6085714" cy="30190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266700</xdr:colOff>
      <xdr:row>8</xdr:row>
      <xdr:rowOff>31750</xdr:rowOff>
    </xdr:from>
    <xdr:to>
      <xdr:col>19</xdr:col>
      <xdr:colOff>6350</xdr:colOff>
      <xdr:row>71</xdr:row>
      <xdr:rowOff>139700</xdr:rowOff>
    </xdr:to>
    <xdr:sp macro="" textlink="">
      <xdr:nvSpPr>
        <xdr:cNvPr id="2" name="Rectangle: Rounded Corners 1">
          <a:extLst>
            <a:ext uri="{FF2B5EF4-FFF2-40B4-BE49-F238E27FC236}">
              <a16:creationId xmlns:a16="http://schemas.microsoft.com/office/drawing/2014/main" id="{7F8C0174-C1F1-B048-06EC-7B17A82D6150}"/>
            </a:ext>
          </a:extLst>
        </xdr:cNvPr>
        <xdr:cNvSpPr/>
      </xdr:nvSpPr>
      <xdr:spPr>
        <a:xfrm>
          <a:off x="5753100" y="1504950"/>
          <a:ext cx="5835650" cy="1170940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POTENTIAL QUESTIONS/INSIGHTS</a:t>
          </a:r>
          <a:endParaRPr lang="en-US" sz="1200" b="1" baseline="0"/>
        </a:p>
        <a:p>
          <a:pPr algn="l"/>
          <a:r>
            <a:rPr lang="en-US" sz="1100"/>
            <a:t>This can be derived</a:t>
          </a:r>
          <a:r>
            <a:rPr lang="en-US" sz="1100" baseline="0"/>
            <a:t> from the segmentation of the data splitting by using one independent variable against another dependent variable. </a:t>
          </a:r>
        </a:p>
        <a:p>
          <a:r>
            <a:rPr lang="en-US" b="1"/>
            <a:t>1. Question:</a:t>
          </a:r>
          <a:r>
            <a:rPr lang="en-US"/>
            <a:t> Which customer generated the highest total revenue?</a:t>
          </a:r>
          <a:br>
            <a:rPr lang="en-US"/>
          </a:br>
          <a:r>
            <a:rPr lang="en-US" b="1"/>
            <a:t>Expected Insight:</a:t>
          </a:r>
          <a:r>
            <a:rPr lang="en-US"/>
            <a:t> A small number of high-value customers are likely responsible for a significant portion of total revenue. </a:t>
          </a:r>
          <a:r>
            <a:rPr lang="en-US" b="1"/>
            <a:t>TASK'S</a:t>
          </a:r>
          <a:r>
            <a:rPr lang="en-US" b="1" baseline="0"/>
            <a:t> CHECKS: </a:t>
          </a:r>
          <a:r>
            <a:rPr lang="en-US" baseline="0"/>
            <a:t>Customer/Revenue</a:t>
          </a:r>
          <a:endParaRPr lang="en-US"/>
        </a:p>
        <a:p>
          <a:r>
            <a:rPr lang="en-US" b="1"/>
            <a:t>2. Question:</a:t>
          </a:r>
          <a:r>
            <a:rPr lang="en-US"/>
            <a:t> How much revenue was generated by each salesperson?</a:t>
          </a:r>
          <a:br>
            <a:rPr lang="en-US"/>
          </a:br>
          <a:r>
            <a:rPr lang="en-US" b="1"/>
            <a:t>Expected Insight:</a:t>
          </a:r>
          <a:r>
            <a:rPr lang="en-US"/>
            <a:t> Revenue performance may vary widely among salespeople, highlighting top performers and potential training needs. </a:t>
          </a:r>
          <a:r>
            <a:rPr lang="en-US" b="1"/>
            <a:t>TASK'S CHECKS: </a:t>
          </a:r>
          <a:r>
            <a:rPr lang="en-US" b="0"/>
            <a:t>Salesperson/Revenue</a:t>
          </a:r>
        </a:p>
        <a:p>
          <a:r>
            <a:rPr lang="en-US" b="1"/>
            <a:t>3. Question:</a:t>
          </a:r>
          <a:r>
            <a:rPr lang="en-US"/>
            <a:t> Which customer purchased the highest quantity of products?</a:t>
          </a:r>
          <a:br>
            <a:rPr lang="en-US"/>
          </a:br>
          <a:r>
            <a:rPr lang="en-US" b="1"/>
            <a:t>Expected Insight:</a:t>
          </a:r>
          <a:r>
            <a:rPr lang="en-US"/>
            <a:t> Customers with high purchase quantities may be bulk buyers or repeat customers with strong brand loyalty. </a:t>
          </a:r>
          <a:r>
            <a:rPr lang="en-US" sz="1100" b="1">
              <a:solidFill>
                <a:schemeClr val="lt1"/>
              </a:solidFill>
              <a:effectLst/>
              <a:latin typeface="+mn-lt"/>
              <a:ea typeface="+mn-ea"/>
              <a:cs typeface="+mn-cs"/>
            </a:rPr>
            <a:t>TASK'S</a:t>
          </a:r>
          <a:r>
            <a:rPr lang="en-US" sz="1100" b="1" baseline="0">
              <a:solidFill>
                <a:schemeClr val="lt1"/>
              </a:solidFill>
              <a:effectLst/>
              <a:latin typeface="+mn-lt"/>
              <a:ea typeface="+mn-ea"/>
              <a:cs typeface="+mn-cs"/>
            </a:rPr>
            <a:t> CHECKS: </a:t>
          </a:r>
          <a:r>
            <a:rPr lang="en-US" sz="1100" b="0" baseline="0">
              <a:solidFill>
                <a:schemeClr val="lt1"/>
              </a:solidFill>
              <a:effectLst/>
              <a:latin typeface="+mn-lt"/>
              <a:ea typeface="+mn-ea"/>
              <a:cs typeface="+mn-cs"/>
            </a:rPr>
            <a:t>Customer/Quantity</a:t>
          </a:r>
          <a:endParaRPr lang="en-US" b="0"/>
        </a:p>
        <a:p>
          <a:r>
            <a:rPr lang="en-US" b="1"/>
            <a:t>4. Question:</a:t>
          </a:r>
          <a:r>
            <a:rPr lang="en-US"/>
            <a:t> Which product category recorded the highest number of units sold?</a:t>
          </a:r>
          <a:br>
            <a:rPr lang="en-US"/>
          </a:br>
          <a:r>
            <a:rPr lang="en-US" b="1"/>
            <a:t>Expected Insight:</a:t>
          </a:r>
          <a:r>
            <a:rPr lang="en-US"/>
            <a:t> Certain product categories may dominate sales due to higher demand or competitive pricing. </a:t>
          </a:r>
          <a:r>
            <a:rPr lang="en-US" sz="1100" b="1">
              <a:solidFill>
                <a:schemeClr val="lt1"/>
              </a:solidFill>
              <a:effectLst/>
              <a:latin typeface="+mn-lt"/>
              <a:ea typeface="+mn-ea"/>
              <a:cs typeface="+mn-cs"/>
            </a:rPr>
            <a:t>TASK'S</a:t>
          </a:r>
          <a:r>
            <a:rPr lang="en-US" sz="1100" b="1" baseline="0">
              <a:solidFill>
                <a:schemeClr val="lt1"/>
              </a:solidFill>
              <a:effectLst/>
              <a:latin typeface="+mn-lt"/>
              <a:ea typeface="+mn-ea"/>
              <a:cs typeface="+mn-cs"/>
            </a:rPr>
            <a:t> CHECKS: </a:t>
          </a:r>
          <a:r>
            <a:rPr lang="en-US" sz="1100" b="0" baseline="0">
              <a:solidFill>
                <a:schemeClr val="lt1"/>
              </a:solidFill>
              <a:effectLst/>
              <a:latin typeface="+mn-lt"/>
              <a:ea typeface="+mn-ea"/>
              <a:cs typeface="+mn-cs"/>
            </a:rPr>
            <a:t>Product category/Quantity</a:t>
          </a:r>
          <a:endParaRPr lang="en-US"/>
        </a:p>
        <a:p>
          <a:r>
            <a:rPr lang="en-US" b="1"/>
            <a:t>5. Question:</a:t>
          </a:r>
          <a:r>
            <a:rPr lang="en-US"/>
            <a:t> Which products generated the highest revenue?</a:t>
          </a:r>
          <a:br>
            <a:rPr lang="en-US"/>
          </a:br>
          <a:r>
            <a:rPr lang="en-US" b="1"/>
            <a:t>Expected Insight:</a:t>
          </a:r>
          <a:r>
            <a:rPr lang="en-US"/>
            <a:t> High-revenue products may not always be the most frequently sold but often have higher unit prices. </a:t>
          </a:r>
          <a:r>
            <a:rPr lang="en-US" sz="1100" b="1">
              <a:solidFill>
                <a:schemeClr val="lt1"/>
              </a:solidFill>
              <a:effectLst/>
              <a:latin typeface="+mn-lt"/>
              <a:ea typeface="+mn-ea"/>
              <a:cs typeface="+mn-cs"/>
            </a:rPr>
            <a:t>TASK'S</a:t>
          </a:r>
          <a:r>
            <a:rPr lang="en-US" sz="1100" b="1" baseline="0">
              <a:solidFill>
                <a:schemeClr val="lt1"/>
              </a:solidFill>
              <a:effectLst/>
              <a:latin typeface="+mn-lt"/>
              <a:ea typeface="+mn-ea"/>
              <a:cs typeface="+mn-cs"/>
            </a:rPr>
            <a:t> CHECKS: </a:t>
          </a:r>
          <a:r>
            <a:rPr lang="en-US" sz="1100" b="0" baseline="0">
              <a:solidFill>
                <a:schemeClr val="lt1"/>
              </a:solidFill>
              <a:effectLst/>
              <a:latin typeface="+mn-lt"/>
              <a:ea typeface="+mn-ea"/>
              <a:cs typeface="+mn-cs"/>
            </a:rPr>
            <a:t>Revenue/Product</a:t>
          </a:r>
          <a:endParaRPr lang="en-US"/>
        </a:p>
        <a:p>
          <a:r>
            <a:rPr lang="en-US" b="1"/>
            <a:t>6. Question:</a:t>
          </a:r>
          <a:r>
            <a:rPr lang="en-US"/>
            <a:t> Which products were purchased in the highest quantities?</a:t>
          </a:r>
          <a:br>
            <a:rPr lang="en-US"/>
          </a:br>
          <a:r>
            <a:rPr lang="en-US" b="1"/>
            <a:t>Expected Insight:</a:t>
          </a:r>
          <a:r>
            <a:rPr lang="en-US"/>
            <a:t> Products with the highest quantities sold are likely essential or fast-moving items. </a:t>
          </a:r>
          <a:r>
            <a:rPr lang="en-US" sz="1100" b="1">
              <a:solidFill>
                <a:schemeClr val="lt1"/>
              </a:solidFill>
              <a:effectLst/>
              <a:latin typeface="+mn-lt"/>
              <a:ea typeface="+mn-ea"/>
              <a:cs typeface="+mn-cs"/>
            </a:rPr>
            <a:t>TASK'S</a:t>
          </a:r>
          <a:r>
            <a:rPr lang="en-US" sz="1100" b="1" baseline="0">
              <a:solidFill>
                <a:schemeClr val="lt1"/>
              </a:solidFill>
              <a:effectLst/>
              <a:latin typeface="+mn-lt"/>
              <a:ea typeface="+mn-ea"/>
              <a:cs typeface="+mn-cs"/>
            </a:rPr>
            <a:t> CHECKS: </a:t>
          </a:r>
          <a:r>
            <a:rPr lang="en-US" sz="1100" b="0" baseline="0">
              <a:solidFill>
                <a:schemeClr val="lt1"/>
              </a:solidFill>
              <a:effectLst/>
              <a:latin typeface="+mn-lt"/>
              <a:ea typeface="+mn-ea"/>
              <a:cs typeface="+mn-cs"/>
            </a:rPr>
            <a:t>Product/Quantity</a:t>
          </a:r>
          <a:endParaRPr lang="en-US"/>
        </a:p>
        <a:p>
          <a:r>
            <a:rPr lang="en-US" b="1"/>
            <a:t>7. Question:</a:t>
          </a:r>
          <a:r>
            <a:rPr lang="en-US"/>
            <a:t> What is the total profit made across all sales transactions?</a:t>
          </a:r>
          <a:br>
            <a:rPr lang="en-US"/>
          </a:br>
          <a:r>
            <a:rPr lang="en-US" b="1"/>
            <a:t>Expected Insight:</a:t>
          </a:r>
          <a:r>
            <a:rPr lang="en-US"/>
            <a:t> Overall profitability can be determined by subtracting unit costs from revenue, revealing the business’s financial performance. </a:t>
          </a:r>
          <a:r>
            <a:rPr lang="en-US" sz="1100" b="1">
              <a:solidFill>
                <a:schemeClr val="lt1"/>
              </a:solidFill>
              <a:effectLst/>
              <a:latin typeface="+mn-lt"/>
              <a:ea typeface="+mn-ea"/>
              <a:cs typeface="+mn-cs"/>
            </a:rPr>
            <a:t>TASK'S</a:t>
          </a:r>
          <a:r>
            <a:rPr lang="en-US" sz="1100" b="1" baseline="0">
              <a:solidFill>
                <a:schemeClr val="lt1"/>
              </a:solidFill>
              <a:effectLst/>
              <a:latin typeface="+mn-lt"/>
              <a:ea typeface="+mn-ea"/>
              <a:cs typeface="+mn-cs"/>
            </a:rPr>
            <a:t> CHECKS: </a:t>
          </a:r>
          <a:r>
            <a:rPr lang="en-US" sz="1100" b="0" baseline="0">
              <a:solidFill>
                <a:schemeClr val="lt1"/>
              </a:solidFill>
              <a:effectLst/>
              <a:latin typeface="+mn-lt"/>
              <a:ea typeface="+mn-ea"/>
              <a:cs typeface="+mn-cs"/>
            </a:rPr>
            <a:t>Profit= Revenue-Unit price</a:t>
          </a:r>
          <a:endParaRPr lang="en-US"/>
        </a:p>
        <a:p>
          <a:r>
            <a:rPr lang="en-US" b="1"/>
            <a:t>8. Question:</a:t>
          </a:r>
          <a:r>
            <a:rPr lang="en-US"/>
            <a:t> How much profit was generated by each product?</a:t>
          </a:r>
          <a:br>
            <a:rPr lang="en-US"/>
          </a:br>
          <a:r>
            <a:rPr lang="en-US" b="1"/>
            <a:t>Expected Insight:</a:t>
          </a:r>
          <a:r>
            <a:rPr lang="en-US"/>
            <a:t> Some products may generate high revenue but low profit due to higher costs, while others yield better margins. </a:t>
          </a:r>
          <a:r>
            <a:rPr lang="en-US" sz="1100" b="1">
              <a:solidFill>
                <a:schemeClr val="lt1"/>
              </a:solidFill>
              <a:effectLst/>
              <a:latin typeface="+mn-lt"/>
              <a:ea typeface="+mn-ea"/>
              <a:cs typeface="+mn-cs"/>
            </a:rPr>
            <a:t>TASK'S</a:t>
          </a:r>
          <a:r>
            <a:rPr lang="en-US" sz="1100" b="1" baseline="0">
              <a:solidFill>
                <a:schemeClr val="lt1"/>
              </a:solidFill>
              <a:effectLst/>
              <a:latin typeface="+mn-lt"/>
              <a:ea typeface="+mn-ea"/>
              <a:cs typeface="+mn-cs"/>
            </a:rPr>
            <a:t> CHECKS: </a:t>
          </a:r>
          <a:r>
            <a:rPr lang="en-US" sz="1100" b="0" baseline="0">
              <a:solidFill>
                <a:schemeClr val="lt1"/>
              </a:solidFill>
              <a:effectLst/>
              <a:latin typeface="+mn-lt"/>
              <a:ea typeface="+mn-ea"/>
              <a:cs typeface="+mn-cs"/>
            </a:rPr>
            <a:t>Product/Profit</a:t>
          </a:r>
          <a:endParaRPr lang="en-US"/>
        </a:p>
        <a:p>
          <a:r>
            <a:rPr lang="en-US" b="1"/>
            <a:t>9. Question:</a:t>
          </a:r>
          <a:r>
            <a:rPr lang="en-US"/>
            <a:t> Which product category contributed the most to total profit?</a:t>
          </a:r>
          <a:br>
            <a:rPr lang="en-US"/>
          </a:br>
          <a:r>
            <a:rPr lang="en-US" b="1"/>
            <a:t>Expected Insight:</a:t>
          </a:r>
          <a:r>
            <a:rPr lang="en-US"/>
            <a:t> Product categories with strong profit contributions may be strategic areas for future investment. </a:t>
          </a:r>
          <a:r>
            <a:rPr lang="en-US" sz="1100" b="1">
              <a:solidFill>
                <a:schemeClr val="lt1"/>
              </a:solidFill>
              <a:effectLst/>
              <a:latin typeface="+mn-lt"/>
              <a:ea typeface="+mn-ea"/>
              <a:cs typeface="+mn-cs"/>
            </a:rPr>
            <a:t>TASK'S</a:t>
          </a:r>
          <a:r>
            <a:rPr lang="en-US" sz="1100" b="1" baseline="0">
              <a:solidFill>
                <a:schemeClr val="lt1"/>
              </a:solidFill>
              <a:effectLst/>
              <a:latin typeface="+mn-lt"/>
              <a:ea typeface="+mn-ea"/>
              <a:cs typeface="+mn-cs"/>
            </a:rPr>
            <a:t> CHECKS: </a:t>
          </a:r>
          <a:r>
            <a:rPr lang="en-US" sz="1100" b="0" baseline="0">
              <a:solidFill>
                <a:schemeClr val="lt1"/>
              </a:solidFill>
              <a:effectLst/>
              <a:latin typeface="+mn-lt"/>
              <a:ea typeface="+mn-ea"/>
              <a:cs typeface="+mn-cs"/>
            </a:rPr>
            <a:t>Product category/Profit</a:t>
          </a:r>
          <a:endParaRPr lang="en-US"/>
        </a:p>
        <a:p>
          <a:r>
            <a:rPr lang="en-US" b="1"/>
            <a:t>10. Question:</a:t>
          </a:r>
          <a:r>
            <a:rPr lang="en-US"/>
            <a:t> How does profit margin vary across different countries?</a:t>
          </a:r>
          <a:br>
            <a:rPr lang="en-US"/>
          </a:br>
          <a:r>
            <a:rPr lang="en-US" b="1"/>
            <a:t>Expected Insight:</a:t>
          </a:r>
          <a:r>
            <a:rPr lang="en-US"/>
            <a:t> Profit margins may differ by country due to variations in costs, pricing strategies, and market conditions. </a:t>
          </a:r>
          <a:r>
            <a:rPr lang="en-US" sz="1100" b="1">
              <a:solidFill>
                <a:schemeClr val="lt1"/>
              </a:solidFill>
              <a:effectLst/>
              <a:latin typeface="+mn-lt"/>
              <a:ea typeface="+mn-ea"/>
              <a:cs typeface="+mn-cs"/>
            </a:rPr>
            <a:t>TASK'S</a:t>
          </a:r>
          <a:r>
            <a:rPr lang="en-US" sz="1100" b="1" baseline="0">
              <a:solidFill>
                <a:schemeClr val="lt1"/>
              </a:solidFill>
              <a:effectLst/>
              <a:latin typeface="+mn-lt"/>
              <a:ea typeface="+mn-ea"/>
              <a:cs typeface="+mn-cs"/>
            </a:rPr>
            <a:t> CHECKS: </a:t>
          </a:r>
          <a:r>
            <a:rPr lang="en-US" sz="1100" b="0" baseline="0">
              <a:solidFill>
                <a:schemeClr val="lt1"/>
              </a:solidFill>
              <a:effectLst/>
              <a:latin typeface="+mn-lt"/>
              <a:ea typeface="+mn-ea"/>
              <a:cs typeface="+mn-cs"/>
            </a:rPr>
            <a:t>Country/Profit</a:t>
          </a:r>
          <a:endParaRPr lang="en-US"/>
        </a:p>
        <a:p>
          <a:r>
            <a:rPr lang="en-US" b="1"/>
            <a:t>11. Question:</a:t>
          </a:r>
          <a:r>
            <a:rPr lang="en-US"/>
            <a:t> Which products have the highest profit margins?</a:t>
          </a:r>
          <a:br>
            <a:rPr lang="en-US"/>
          </a:br>
          <a:r>
            <a:rPr lang="en-US" b="1"/>
            <a:t>Expected Insight:</a:t>
          </a:r>
          <a:r>
            <a:rPr lang="en-US"/>
            <a:t> High-margin products indicate efficient cost management and strong pricing power. </a:t>
          </a:r>
          <a:r>
            <a:rPr lang="en-US" sz="1100" b="1">
              <a:solidFill>
                <a:schemeClr val="lt1"/>
              </a:solidFill>
              <a:effectLst/>
              <a:latin typeface="+mn-lt"/>
              <a:ea typeface="+mn-ea"/>
              <a:cs typeface="+mn-cs"/>
            </a:rPr>
            <a:t>TASK'S</a:t>
          </a:r>
          <a:r>
            <a:rPr lang="en-US" sz="1100" b="1" baseline="0">
              <a:solidFill>
                <a:schemeClr val="lt1"/>
              </a:solidFill>
              <a:effectLst/>
              <a:latin typeface="+mn-lt"/>
              <a:ea typeface="+mn-ea"/>
              <a:cs typeface="+mn-cs"/>
            </a:rPr>
            <a:t> CHECKS: </a:t>
          </a:r>
          <a:r>
            <a:rPr lang="en-US" sz="1100" b="0" baseline="0">
              <a:solidFill>
                <a:schemeClr val="lt1"/>
              </a:solidFill>
              <a:effectLst/>
              <a:latin typeface="+mn-lt"/>
              <a:ea typeface="+mn-ea"/>
              <a:cs typeface="+mn-cs"/>
            </a:rPr>
            <a:t>Product/Profit</a:t>
          </a:r>
          <a:endParaRPr lang="en-US"/>
        </a:p>
        <a:p>
          <a:r>
            <a:rPr lang="en-US" b="1"/>
            <a:t>12. Question:</a:t>
          </a:r>
          <a:r>
            <a:rPr lang="en-US"/>
            <a:t> Which product categories have the highest profit margins?</a:t>
          </a:r>
          <a:br>
            <a:rPr lang="en-US"/>
          </a:br>
          <a:r>
            <a:rPr lang="en-US" b="1"/>
            <a:t>Expected Insight:</a:t>
          </a:r>
          <a:r>
            <a:rPr lang="en-US"/>
            <a:t> Certain categories may be more profitable overall, even if their sales volumes are lower. </a:t>
          </a:r>
          <a:r>
            <a:rPr lang="en-US" sz="1100" b="1">
              <a:solidFill>
                <a:schemeClr val="lt1"/>
              </a:solidFill>
              <a:effectLst/>
              <a:latin typeface="+mn-lt"/>
              <a:ea typeface="+mn-ea"/>
              <a:cs typeface="+mn-cs"/>
            </a:rPr>
            <a:t>TASK'S</a:t>
          </a:r>
          <a:r>
            <a:rPr lang="en-US" sz="1100" b="1" baseline="0">
              <a:solidFill>
                <a:schemeClr val="lt1"/>
              </a:solidFill>
              <a:effectLst/>
              <a:latin typeface="+mn-lt"/>
              <a:ea typeface="+mn-ea"/>
              <a:cs typeface="+mn-cs"/>
            </a:rPr>
            <a:t> CHECKS: </a:t>
          </a:r>
          <a:r>
            <a:rPr lang="en-US" sz="1100" b="0" baseline="0">
              <a:solidFill>
                <a:schemeClr val="lt1"/>
              </a:solidFill>
              <a:effectLst/>
              <a:latin typeface="+mn-lt"/>
              <a:ea typeface="+mn-ea"/>
              <a:cs typeface="+mn-cs"/>
            </a:rPr>
            <a:t>Product category/Profit</a:t>
          </a:r>
          <a:endParaRPr lang="en-US"/>
        </a:p>
        <a:p>
          <a:r>
            <a:rPr lang="en-US" b="1"/>
            <a:t>13. Question:</a:t>
          </a:r>
          <a:r>
            <a:rPr lang="en-US"/>
            <a:t> Which salesperson generated the highest total profit?</a:t>
          </a:r>
          <a:br>
            <a:rPr lang="en-US"/>
          </a:br>
          <a:r>
            <a:rPr lang="en-US" b="1"/>
            <a:t>Expected Insight:</a:t>
          </a:r>
          <a:r>
            <a:rPr lang="en-US"/>
            <a:t> The top-performing salesperson may excel at selling high-margin or premium products. </a:t>
          </a:r>
          <a:r>
            <a:rPr lang="en-US" sz="1100" b="1">
              <a:solidFill>
                <a:schemeClr val="lt1"/>
              </a:solidFill>
              <a:effectLst/>
              <a:latin typeface="+mn-lt"/>
              <a:ea typeface="+mn-ea"/>
              <a:cs typeface="+mn-cs"/>
            </a:rPr>
            <a:t>TASK'S</a:t>
          </a:r>
          <a:r>
            <a:rPr lang="en-US" sz="1100" b="1" baseline="0">
              <a:solidFill>
                <a:schemeClr val="lt1"/>
              </a:solidFill>
              <a:effectLst/>
              <a:latin typeface="+mn-lt"/>
              <a:ea typeface="+mn-ea"/>
              <a:cs typeface="+mn-cs"/>
            </a:rPr>
            <a:t> CHECKS: </a:t>
          </a:r>
          <a:r>
            <a:rPr lang="en-US" sz="1100" b="0" baseline="0">
              <a:solidFill>
                <a:schemeClr val="lt1"/>
              </a:solidFill>
              <a:effectLst/>
              <a:latin typeface="+mn-lt"/>
              <a:ea typeface="+mn-ea"/>
              <a:cs typeface="+mn-cs"/>
            </a:rPr>
            <a:t>Salesperson/Profit</a:t>
          </a:r>
          <a:endParaRPr lang="en-US"/>
        </a:p>
        <a:p>
          <a:r>
            <a:rPr lang="en-US" b="1"/>
            <a:t>14. Question:</a:t>
          </a:r>
          <a:r>
            <a:rPr lang="en-US"/>
            <a:t> What is the most commonly used payment method by customers?</a:t>
          </a:r>
          <a:br>
            <a:rPr lang="en-US"/>
          </a:br>
          <a:r>
            <a:rPr lang="en-US" b="1"/>
            <a:t>Expected Insight:</a:t>
          </a:r>
          <a:r>
            <a:rPr lang="en-US"/>
            <a:t> Customers may prefer faster and more convenient payment methods, influencing transaction efficiency. </a:t>
          </a:r>
          <a:r>
            <a:rPr lang="en-US" sz="1100" b="1">
              <a:solidFill>
                <a:schemeClr val="lt1"/>
              </a:solidFill>
              <a:effectLst/>
              <a:latin typeface="+mn-lt"/>
              <a:ea typeface="+mn-ea"/>
              <a:cs typeface="+mn-cs"/>
            </a:rPr>
            <a:t>TASK'S</a:t>
          </a:r>
          <a:r>
            <a:rPr lang="en-US" sz="1100" b="1" baseline="0">
              <a:solidFill>
                <a:schemeClr val="lt1"/>
              </a:solidFill>
              <a:effectLst/>
              <a:latin typeface="+mn-lt"/>
              <a:ea typeface="+mn-ea"/>
              <a:cs typeface="+mn-cs"/>
            </a:rPr>
            <a:t> CHECKS: </a:t>
          </a:r>
          <a:r>
            <a:rPr lang="en-US" sz="1100" b="0" baseline="0">
              <a:solidFill>
                <a:schemeClr val="lt1"/>
              </a:solidFill>
              <a:effectLst/>
              <a:latin typeface="+mn-lt"/>
              <a:ea typeface="+mn-ea"/>
              <a:cs typeface="+mn-cs"/>
            </a:rPr>
            <a:t>Customer/Payment method</a:t>
          </a:r>
          <a:endParaRPr lang="en-US"/>
        </a:p>
        <a:p>
          <a:r>
            <a:rPr lang="en-US" b="1"/>
            <a:t>15. Question:</a:t>
          </a:r>
          <a:r>
            <a:rPr lang="en-US"/>
            <a:t> Which shipping country incurred the highest total shipping fees?</a:t>
          </a:r>
          <a:br>
            <a:rPr lang="en-US"/>
          </a:br>
          <a:r>
            <a:rPr lang="en-US" b="1"/>
            <a:t>Expected Insight:</a:t>
          </a:r>
          <a:r>
            <a:rPr lang="en-US"/>
            <a:t> Higher shipping fees may be associated with distance, logistics complexity, or shipment volume. </a:t>
          </a:r>
          <a:r>
            <a:rPr lang="en-US" sz="1100" b="1">
              <a:solidFill>
                <a:schemeClr val="lt1"/>
              </a:solidFill>
              <a:effectLst/>
              <a:latin typeface="+mn-lt"/>
              <a:ea typeface="+mn-ea"/>
              <a:cs typeface="+mn-cs"/>
            </a:rPr>
            <a:t>TASK'S</a:t>
          </a:r>
          <a:r>
            <a:rPr lang="en-US" sz="1100" b="1" baseline="0">
              <a:solidFill>
                <a:schemeClr val="lt1"/>
              </a:solidFill>
              <a:effectLst/>
              <a:latin typeface="+mn-lt"/>
              <a:ea typeface="+mn-ea"/>
              <a:cs typeface="+mn-cs"/>
            </a:rPr>
            <a:t> CHECKS: </a:t>
          </a:r>
          <a:r>
            <a:rPr lang="en-US" sz="1100" b="0" baseline="0">
              <a:solidFill>
                <a:schemeClr val="lt1"/>
              </a:solidFill>
              <a:effectLst/>
              <a:latin typeface="+mn-lt"/>
              <a:ea typeface="+mn-ea"/>
              <a:cs typeface="+mn-cs"/>
            </a:rPr>
            <a:t>Shipping country/Shipping fee</a:t>
          </a:r>
          <a:endParaRPr lang="en-US"/>
        </a:p>
        <a:p>
          <a:r>
            <a:rPr lang="en-US" b="1"/>
            <a:t>16. Question:</a:t>
          </a:r>
          <a:r>
            <a:rPr lang="en-US"/>
            <a:t> Which countries generated the highest revenue?</a:t>
          </a:r>
          <a:br>
            <a:rPr lang="en-US"/>
          </a:br>
          <a:r>
            <a:rPr lang="en-US" b="1"/>
            <a:t>Expected Insight:</a:t>
          </a:r>
          <a:r>
            <a:rPr lang="en-US"/>
            <a:t> A few key countries may serve as major revenue drivers for the business. </a:t>
          </a:r>
          <a:r>
            <a:rPr lang="en-US" sz="1100" b="1">
              <a:solidFill>
                <a:schemeClr val="lt1"/>
              </a:solidFill>
              <a:effectLst/>
              <a:latin typeface="+mn-lt"/>
              <a:ea typeface="+mn-ea"/>
              <a:cs typeface="+mn-cs"/>
            </a:rPr>
            <a:t>TASK'S</a:t>
          </a:r>
          <a:r>
            <a:rPr lang="en-US" sz="1100" b="1" baseline="0">
              <a:solidFill>
                <a:schemeClr val="lt1"/>
              </a:solidFill>
              <a:effectLst/>
              <a:latin typeface="+mn-lt"/>
              <a:ea typeface="+mn-ea"/>
              <a:cs typeface="+mn-cs"/>
            </a:rPr>
            <a:t> CHECKS: </a:t>
          </a:r>
          <a:r>
            <a:rPr lang="en-US" sz="1100" b="0" baseline="0">
              <a:solidFill>
                <a:schemeClr val="lt1"/>
              </a:solidFill>
              <a:effectLst/>
              <a:latin typeface="+mn-lt"/>
              <a:ea typeface="+mn-ea"/>
              <a:cs typeface="+mn-cs"/>
            </a:rPr>
            <a:t>Country/Revenue</a:t>
          </a:r>
          <a:endParaRPr lang="en-US"/>
        </a:p>
        <a:p>
          <a:r>
            <a:rPr lang="en-US" b="1"/>
            <a:t>17. Question:</a:t>
          </a:r>
          <a:r>
            <a:rPr lang="en-US"/>
            <a:t> Which shipper charged the highest shipping fees overall?</a:t>
          </a:r>
          <a:br>
            <a:rPr lang="en-US"/>
          </a:br>
          <a:r>
            <a:rPr lang="en-US" b="1"/>
            <a:t>Expected Insight:</a:t>
          </a:r>
          <a:r>
            <a:rPr lang="en-US"/>
            <a:t> Certain shippers may be more expensive due to service level, delivery speed, or coverage area. </a:t>
          </a:r>
          <a:r>
            <a:rPr lang="en-US" sz="1100" b="1">
              <a:solidFill>
                <a:schemeClr val="lt1"/>
              </a:solidFill>
              <a:effectLst/>
              <a:latin typeface="+mn-lt"/>
              <a:ea typeface="+mn-ea"/>
              <a:cs typeface="+mn-cs"/>
            </a:rPr>
            <a:t>TASK'S</a:t>
          </a:r>
          <a:r>
            <a:rPr lang="en-US" sz="1100" b="1" baseline="0">
              <a:solidFill>
                <a:schemeClr val="lt1"/>
              </a:solidFill>
              <a:effectLst/>
              <a:latin typeface="+mn-lt"/>
              <a:ea typeface="+mn-ea"/>
              <a:cs typeface="+mn-cs"/>
            </a:rPr>
            <a:t> CHECKS: </a:t>
          </a:r>
          <a:r>
            <a:rPr lang="en-US" sz="1100" b="0" baseline="0">
              <a:solidFill>
                <a:schemeClr val="lt1"/>
              </a:solidFill>
              <a:effectLst/>
              <a:latin typeface="+mn-lt"/>
              <a:ea typeface="+mn-ea"/>
              <a:cs typeface="+mn-cs"/>
            </a:rPr>
            <a:t>Ship name/Shipping fee</a:t>
          </a:r>
          <a:endParaRPr lang="en-US"/>
        </a:p>
        <a:p>
          <a:r>
            <a:rPr lang="en-US" b="1"/>
            <a:t>18. Question:</a:t>
          </a:r>
          <a:r>
            <a:rPr lang="en-US"/>
            <a:t> Which customer generated the highest profit for the business?</a:t>
          </a:r>
          <a:br>
            <a:rPr lang="en-US"/>
          </a:br>
          <a:r>
            <a:rPr lang="en-US" b="1"/>
            <a:t>Expected Insight:</a:t>
          </a:r>
          <a:r>
            <a:rPr lang="en-US"/>
            <a:t> The most profitable customer may not be the one with the highest revenue but the one associated with lower costs and higher margins. </a:t>
          </a:r>
          <a:r>
            <a:rPr lang="en-US" sz="1100" b="1">
              <a:solidFill>
                <a:schemeClr val="lt1"/>
              </a:solidFill>
              <a:effectLst/>
              <a:latin typeface="+mn-lt"/>
              <a:ea typeface="+mn-ea"/>
              <a:cs typeface="+mn-cs"/>
            </a:rPr>
            <a:t>TASK'S</a:t>
          </a:r>
          <a:r>
            <a:rPr lang="en-US" sz="1100" b="1" baseline="0">
              <a:solidFill>
                <a:schemeClr val="lt1"/>
              </a:solidFill>
              <a:effectLst/>
              <a:latin typeface="+mn-lt"/>
              <a:ea typeface="+mn-ea"/>
              <a:cs typeface="+mn-cs"/>
            </a:rPr>
            <a:t> CHECKS: </a:t>
          </a:r>
          <a:r>
            <a:rPr lang="en-US" sz="1100" b="0" baseline="0">
              <a:solidFill>
                <a:schemeClr val="lt1"/>
              </a:solidFill>
              <a:effectLst/>
              <a:latin typeface="+mn-lt"/>
              <a:ea typeface="+mn-ea"/>
              <a:cs typeface="+mn-cs"/>
            </a:rPr>
            <a:t>Customer/Profit</a:t>
          </a:r>
          <a:endParaRPr lang="en-US"/>
        </a:p>
      </xdr:txBody>
    </xdr:sp>
    <xdr:clientData/>
  </xdr:twoCellAnchor>
  <xdr:twoCellAnchor>
    <xdr:from>
      <xdr:col>0</xdr:col>
      <xdr:colOff>88900</xdr:colOff>
      <xdr:row>8</xdr:row>
      <xdr:rowOff>50800</xdr:rowOff>
    </xdr:from>
    <xdr:to>
      <xdr:col>8</xdr:col>
      <xdr:colOff>558800</xdr:colOff>
      <xdr:row>36</xdr:row>
      <xdr:rowOff>6350</xdr:rowOff>
    </xdr:to>
    <xdr:sp macro="" textlink="">
      <xdr:nvSpPr>
        <xdr:cNvPr id="3" name="Rectangle: Rounded Corners 2">
          <a:extLst>
            <a:ext uri="{FF2B5EF4-FFF2-40B4-BE49-F238E27FC236}">
              <a16:creationId xmlns:a16="http://schemas.microsoft.com/office/drawing/2014/main" id="{69FA8ECA-3F6B-209B-3A84-4CF03B068987}"/>
            </a:ext>
          </a:extLst>
        </xdr:cNvPr>
        <xdr:cNvSpPr/>
      </xdr:nvSpPr>
      <xdr:spPr>
        <a:xfrm>
          <a:off x="88900" y="1524000"/>
          <a:ext cx="5346700" cy="511175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DATA</a:t>
          </a:r>
          <a:r>
            <a:rPr lang="en-US" sz="1200" b="1" baseline="0"/>
            <a:t> POINT SPLITTING</a:t>
          </a:r>
        </a:p>
        <a:p>
          <a:pPr algn="l"/>
          <a:r>
            <a:rPr lang="en-US" sz="1100" baseline="0"/>
            <a:t>This is used to understand the potential things to come up with to analyse data more effectively. There are two categories to this; </a:t>
          </a:r>
        </a:p>
        <a:p>
          <a:pPr algn="l"/>
          <a:r>
            <a:rPr lang="en-US" sz="1100" baseline="0"/>
            <a:t>1. Independent values: These are values</a:t>
          </a:r>
          <a:r>
            <a:rPr lang="en-US" sz="1100" b="0" i="0">
              <a:solidFill>
                <a:schemeClr val="lt1"/>
              </a:solidFill>
              <a:effectLst/>
              <a:latin typeface="+mn-lt"/>
              <a:ea typeface="+mn-ea"/>
              <a:cs typeface="+mn-cs"/>
            </a:rPr>
            <a:t> that influence other variables in a dataset,</a:t>
          </a:r>
          <a:r>
            <a:rPr lang="en-US" sz="1100" b="0" i="0" baseline="0">
              <a:solidFill>
                <a:schemeClr val="lt1"/>
              </a:solidFill>
              <a:effectLst/>
              <a:latin typeface="+mn-lt"/>
              <a:ea typeface="+mn-ea"/>
              <a:cs typeface="+mn-cs"/>
            </a:rPr>
            <a:t> they do not need coinciding variables to make sense. Examples include;</a:t>
          </a:r>
        </a:p>
        <a:p>
          <a:pPr algn="l"/>
          <a:r>
            <a:rPr lang="en-US" sz="1100" b="0" i="0" baseline="0">
              <a:solidFill>
                <a:schemeClr val="lt1"/>
              </a:solidFill>
              <a:effectLst/>
              <a:latin typeface="+mn-lt"/>
              <a:ea typeface="+mn-ea"/>
              <a:cs typeface="+mn-cs"/>
            </a:rPr>
            <a:t>Customer name</a:t>
          </a:r>
        </a:p>
        <a:p>
          <a:pPr algn="l"/>
          <a:r>
            <a:rPr lang="en-US" sz="1100" b="0" i="0" baseline="0">
              <a:solidFill>
                <a:schemeClr val="lt1"/>
              </a:solidFill>
              <a:effectLst/>
              <a:latin typeface="+mn-lt"/>
              <a:ea typeface="+mn-ea"/>
              <a:cs typeface="+mn-cs"/>
            </a:rPr>
            <a:t>Salesperson</a:t>
          </a:r>
        </a:p>
        <a:p>
          <a:pPr algn="l"/>
          <a:r>
            <a:rPr lang="en-US" sz="1100" b="0" i="0" baseline="0">
              <a:solidFill>
                <a:schemeClr val="lt1"/>
              </a:solidFill>
              <a:effectLst/>
              <a:latin typeface="+mn-lt"/>
              <a:ea typeface="+mn-ea"/>
              <a:cs typeface="+mn-cs"/>
            </a:rPr>
            <a:t>Region</a:t>
          </a:r>
        </a:p>
        <a:p>
          <a:pPr algn="l"/>
          <a:r>
            <a:rPr lang="en-US" sz="1100" b="0" i="0" baseline="0">
              <a:solidFill>
                <a:schemeClr val="lt1"/>
              </a:solidFill>
              <a:effectLst/>
              <a:latin typeface="+mn-lt"/>
              <a:ea typeface="+mn-ea"/>
              <a:cs typeface="+mn-cs"/>
            </a:rPr>
            <a:t>Shipper name </a:t>
          </a:r>
        </a:p>
        <a:p>
          <a:pPr algn="l"/>
          <a:r>
            <a:rPr lang="en-US" sz="1100" b="0" i="0" baseline="0">
              <a:solidFill>
                <a:schemeClr val="lt1"/>
              </a:solidFill>
              <a:effectLst/>
              <a:latin typeface="+mn-lt"/>
              <a:ea typeface="+mn-ea"/>
              <a:cs typeface="+mn-cs"/>
            </a:rPr>
            <a:t>Ship country/region</a:t>
          </a:r>
        </a:p>
        <a:p>
          <a:pPr algn="l"/>
          <a:r>
            <a:rPr lang="en-US" sz="1100" b="0" i="0" baseline="0">
              <a:solidFill>
                <a:schemeClr val="lt1"/>
              </a:solidFill>
              <a:effectLst/>
              <a:latin typeface="+mn-lt"/>
              <a:ea typeface="+mn-ea"/>
              <a:cs typeface="+mn-cs"/>
            </a:rPr>
            <a:t>Ship city</a:t>
          </a:r>
        </a:p>
        <a:p>
          <a:pPr algn="l"/>
          <a:r>
            <a:rPr lang="en-US" sz="1100" b="0" i="0" baseline="0">
              <a:solidFill>
                <a:schemeClr val="lt1"/>
              </a:solidFill>
              <a:effectLst/>
              <a:latin typeface="+mn-lt"/>
              <a:ea typeface="+mn-ea"/>
              <a:cs typeface="+mn-cs"/>
            </a:rPr>
            <a:t>Product name</a:t>
          </a:r>
        </a:p>
        <a:p>
          <a:pPr algn="l"/>
          <a:r>
            <a:rPr lang="en-US" sz="1100" b="0" i="0" baseline="0">
              <a:solidFill>
                <a:schemeClr val="lt1"/>
              </a:solidFill>
              <a:effectLst/>
              <a:latin typeface="+mn-lt"/>
              <a:ea typeface="+mn-ea"/>
              <a:cs typeface="+mn-cs"/>
            </a:rPr>
            <a:t>Product category</a:t>
          </a:r>
        </a:p>
        <a:p>
          <a:pPr algn="l"/>
          <a:r>
            <a:rPr lang="en-US" sz="1100" b="0" i="0" baseline="0">
              <a:solidFill>
                <a:schemeClr val="lt1"/>
              </a:solidFill>
              <a:effectLst/>
              <a:latin typeface="+mn-lt"/>
              <a:ea typeface="+mn-ea"/>
              <a:cs typeface="+mn-cs"/>
            </a:rPr>
            <a:t>Payment type</a:t>
          </a:r>
        </a:p>
        <a:p>
          <a:pPr algn="l"/>
          <a:endParaRPr lang="en-US" sz="1100" baseline="0"/>
        </a:p>
        <a:p>
          <a:pPr algn="l"/>
          <a:r>
            <a:rPr lang="en-US" sz="1100" baseline="0"/>
            <a:t>2. Dependent values: These are values </a:t>
          </a:r>
          <a:r>
            <a:rPr lang="en-US" sz="1100" b="0" i="0">
              <a:solidFill>
                <a:schemeClr val="lt1"/>
              </a:solidFill>
              <a:effectLst/>
              <a:latin typeface="+mn-lt"/>
              <a:ea typeface="+mn-ea"/>
              <a:cs typeface="+mn-cs"/>
            </a:rPr>
            <a:t>that are affected by other</a:t>
          </a:r>
          <a:r>
            <a:rPr lang="en-US" sz="1100" b="0" i="0" baseline="0">
              <a:solidFill>
                <a:schemeClr val="lt1"/>
              </a:solidFill>
              <a:effectLst/>
              <a:latin typeface="+mn-lt"/>
              <a:ea typeface="+mn-ea"/>
              <a:cs typeface="+mn-cs"/>
            </a:rPr>
            <a:t> variables in a dataset, they can not stand alone to make sense, variables like monetary things. Examples include; </a:t>
          </a:r>
        </a:p>
        <a:p>
          <a:pPr algn="l"/>
          <a:r>
            <a:rPr lang="en-US" sz="1100" b="0" i="0" baseline="0">
              <a:solidFill>
                <a:schemeClr val="lt1"/>
              </a:solidFill>
              <a:effectLst/>
              <a:latin typeface="+mn-lt"/>
              <a:ea typeface="+mn-ea"/>
              <a:cs typeface="+mn-cs"/>
            </a:rPr>
            <a:t>Revenue</a:t>
          </a:r>
        </a:p>
        <a:p>
          <a:pPr algn="l"/>
          <a:r>
            <a:rPr lang="en-US" sz="1100" b="0" i="0" baseline="0">
              <a:solidFill>
                <a:schemeClr val="lt1"/>
              </a:solidFill>
              <a:effectLst/>
              <a:latin typeface="+mn-lt"/>
              <a:ea typeface="+mn-ea"/>
              <a:cs typeface="+mn-cs"/>
            </a:rPr>
            <a:t>Age </a:t>
          </a:r>
        </a:p>
        <a:p>
          <a:pPr algn="l"/>
          <a:r>
            <a:rPr lang="en-US" sz="1100" b="0" i="0" baseline="0">
              <a:solidFill>
                <a:schemeClr val="lt1"/>
              </a:solidFill>
              <a:effectLst/>
              <a:latin typeface="+mn-lt"/>
              <a:ea typeface="+mn-ea"/>
              <a:cs typeface="+mn-cs"/>
            </a:rPr>
            <a:t>Unit price</a:t>
          </a:r>
        </a:p>
        <a:p>
          <a:pPr algn="l"/>
          <a:r>
            <a:rPr lang="en-US" sz="1100" b="0" i="0" baseline="0">
              <a:solidFill>
                <a:schemeClr val="lt1"/>
              </a:solidFill>
              <a:effectLst/>
              <a:latin typeface="+mn-lt"/>
              <a:ea typeface="+mn-ea"/>
              <a:cs typeface="+mn-cs"/>
            </a:rPr>
            <a:t>Quantity</a:t>
          </a:r>
        </a:p>
        <a:p>
          <a:pPr algn="l"/>
          <a:r>
            <a:rPr lang="en-US" sz="1100" b="0" i="0" baseline="0">
              <a:solidFill>
                <a:schemeClr val="lt1"/>
              </a:solidFill>
              <a:effectLst/>
              <a:latin typeface="+mn-lt"/>
              <a:ea typeface="+mn-ea"/>
              <a:cs typeface="+mn-cs"/>
            </a:rPr>
            <a:t>Shipping fee</a:t>
          </a:r>
        </a:p>
        <a:p>
          <a:pPr algn="l"/>
          <a:r>
            <a:rPr lang="en-US" sz="1100" b="0" i="0" baseline="0">
              <a:solidFill>
                <a:schemeClr val="lt1"/>
              </a:solidFill>
              <a:effectLst/>
              <a:latin typeface="+mn-lt"/>
              <a:ea typeface="+mn-ea"/>
              <a:cs typeface="+mn-cs"/>
            </a:rPr>
            <a:t>Profit</a:t>
          </a:r>
        </a:p>
        <a:p>
          <a:pPr algn="l"/>
          <a:r>
            <a:rPr lang="en-US" sz="1100" b="0" i="0" baseline="0">
              <a:solidFill>
                <a:schemeClr val="lt1"/>
              </a:solidFill>
              <a:effectLst/>
              <a:latin typeface="+mn-lt"/>
              <a:ea typeface="+mn-ea"/>
              <a:cs typeface="+mn-cs"/>
            </a:rPr>
            <a:t>Profit margin</a:t>
          </a:r>
        </a:p>
        <a:p>
          <a:pPr algn="l"/>
          <a:r>
            <a:rPr lang="en-US" sz="1100" b="0" i="0" baseline="0">
              <a:solidFill>
                <a:schemeClr val="lt1"/>
              </a:solidFill>
              <a:effectLst/>
              <a:latin typeface="+mn-lt"/>
              <a:ea typeface="+mn-ea"/>
              <a:cs typeface="+mn-cs"/>
            </a:rPr>
            <a:t>Order ID</a:t>
          </a:r>
          <a:endParaRPr lang="en-US" sz="1100" baseline="0"/>
        </a:p>
        <a:p>
          <a:pPr algn="l"/>
          <a:endParaRPr lang="en-US" sz="1100"/>
        </a:p>
      </xdr:txBody>
    </xdr:sp>
    <xdr:clientData/>
  </xdr:twoCellAnchor>
  <xdr:twoCellAnchor>
    <xdr:from>
      <xdr:col>0</xdr:col>
      <xdr:colOff>95250</xdr:colOff>
      <xdr:row>36</xdr:row>
      <xdr:rowOff>158750</xdr:rowOff>
    </xdr:from>
    <xdr:to>
      <xdr:col>8</xdr:col>
      <xdr:colOff>565150</xdr:colOff>
      <xdr:row>64</xdr:row>
      <xdr:rowOff>114300</xdr:rowOff>
    </xdr:to>
    <xdr:sp macro="" textlink="">
      <xdr:nvSpPr>
        <xdr:cNvPr id="4" name="Rectangle: Rounded Corners 3">
          <a:extLst>
            <a:ext uri="{FF2B5EF4-FFF2-40B4-BE49-F238E27FC236}">
              <a16:creationId xmlns:a16="http://schemas.microsoft.com/office/drawing/2014/main" id="{24AD4838-E800-F3A4-F021-5B4E3CE98B22}"/>
            </a:ext>
          </a:extLst>
        </xdr:cNvPr>
        <xdr:cNvSpPr/>
      </xdr:nvSpPr>
      <xdr:spPr>
        <a:xfrm>
          <a:off x="95250" y="6788150"/>
          <a:ext cx="5346700" cy="511175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DATA STORY</a:t>
          </a:r>
        </a:p>
        <a:p>
          <a:pPr algn="l"/>
          <a:r>
            <a:rPr lang="en-US">
              <a:solidFill>
                <a:sysClr val="windowText" lastClr="000000"/>
              </a:solidFill>
            </a:rPr>
            <a:t>The data tells a story about the sales activities of an e-commerce organisation operating across multiple countries. It shows how different products and product categories perform in terms of revenue, quantity sold, and profit, while also highlighting customer purchasing behaviour and overall profitability. </a:t>
          </a:r>
        </a:p>
        <a:p>
          <a:pPr algn="l"/>
          <a:endParaRPr lang="en-US">
            <a:solidFill>
              <a:sysClr val="windowText" lastClr="000000"/>
            </a:solidFill>
          </a:endParaRPr>
        </a:p>
        <a:p>
          <a:pPr algn="l"/>
          <a:r>
            <a:rPr lang="en-US">
              <a:solidFill>
                <a:sysClr val="windowText" lastClr="000000"/>
              </a:solidFill>
            </a:rPr>
            <a:t>It also shows the</a:t>
          </a:r>
          <a:r>
            <a:rPr lang="en-US" baseline="0">
              <a:solidFill>
                <a:sysClr val="windowText" lastClr="000000"/>
              </a:solidFill>
            </a:rPr>
            <a:t> details of sales made by each</a:t>
          </a:r>
          <a:r>
            <a:rPr lang="en-US">
              <a:solidFill>
                <a:sysClr val="windowText" lastClr="000000"/>
              </a:solidFill>
            </a:rPr>
            <a:t> salespeople, which could help identifying top performers who contribute most to the organisation’s profitability. In addition, it highlight the payment methods and shipping details which provides insight into customer preferences and logistics costs, with variations in shipping fees and profit margins across different countries and shippers.</a:t>
          </a:r>
        </a:p>
        <a:p>
          <a:pPr algn="l"/>
          <a:endParaRPr lang="en-US" sz="1100" b="0">
            <a:solidFill>
              <a:sysClr val="windowText" lastClr="000000"/>
            </a:solidFill>
          </a:endParaRPr>
        </a:p>
        <a:p>
          <a:pPr algn="l"/>
          <a:r>
            <a:rPr lang="en-US" sz="1100" b="0">
              <a:solidFill>
                <a:sysClr val="windowText" lastClr="000000"/>
              </a:solidFill>
            </a:rPr>
            <a:t>Hence</a:t>
          </a:r>
          <a:r>
            <a:rPr lang="en-US" sz="1100" b="0" baseline="0">
              <a:solidFill>
                <a:sysClr val="windowText" lastClr="000000"/>
              </a:solidFill>
            </a:rPr>
            <a:t>, I can conclude that this dataset presents a clear picture of the company’s e-commerce sales methodology, from customer behaviour and product performance to sales execution and logistics efficiency. </a:t>
          </a:r>
        </a:p>
        <a:p>
          <a:pPr algn="l"/>
          <a:endParaRPr lang="en-US" sz="1100" b="0" baseline="0">
            <a:solidFill>
              <a:sysClr val="windowText" lastClr="000000"/>
            </a:solidFill>
          </a:endParaRPr>
        </a:p>
        <a:p>
          <a:pPr algn="l"/>
          <a:r>
            <a:rPr lang="en-US" sz="1200" b="1" baseline="0">
              <a:solidFill>
                <a:sysClr val="windowText" lastClr="000000"/>
              </a:solidFill>
            </a:rPr>
            <a:t>Industry Type: </a:t>
          </a:r>
          <a:r>
            <a:rPr lang="en-US" sz="1100" b="0" baseline="0">
              <a:solidFill>
                <a:sysClr val="windowText" lastClr="000000"/>
              </a:solidFill>
            </a:rPr>
            <a:t>E-commerce</a:t>
          </a:r>
        </a:p>
        <a:p>
          <a:pPr algn="l"/>
          <a:endParaRPr lang="en-US" sz="1100" b="0" baseline="0">
            <a:solidFill>
              <a:sysClr val="windowText" lastClr="000000"/>
            </a:solidFill>
          </a:endParaRPr>
        </a:p>
        <a:p>
          <a:pPr algn="l"/>
          <a:r>
            <a:rPr lang="en-US" sz="1200" b="1" baseline="0">
              <a:solidFill>
                <a:sysClr val="windowText" lastClr="000000"/>
              </a:solidFill>
            </a:rPr>
            <a:t>Stakeholders:</a:t>
          </a:r>
          <a:r>
            <a:rPr lang="en-US" sz="1200" b="0" baseline="0">
              <a:solidFill>
                <a:sysClr val="windowText" lastClr="000000"/>
              </a:solidFill>
            </a:rPr>
            <a:t> </a:t>
          </a:r>
          <a:r>
            <a:rPr lang="en-US" sz="1100" b="0" baseline="0">
              <a:solidFill>
                <a:sysClr val="windowText" lastClr="000000"/>
              </a:solidFill>
            </a:rPr>
            <a:t>Chief Executive Officer, Sales Manager, Marketing Manager, Finance Team, and Operations or Logistics Manager</a:t>
          </a:r>
        </a:p>
        <a:p>
          <a:pPr algn="l"/>
          <a:endParaRPr lang="en-US" sz="1100" b="0" baseline="0">
            <a:solidFill>
              <a:sysClr val="windowText" lastClr="000000"/>
            </a:solidFill>
          </a:endParaRPr>
        </a:p>
        <a:p>
          <a:pPr algn="l"/>
          <a:r>
            <a:rPr lang="en-US" sz="1200" b="1" baseline="0">
              <a:solidFill>
                <a:sysClr val="windowText" lastClr="000000"/>
              </a:solidFill>
            </a:rPr>
            <a:t>What success means to this e-commerce industry:</a:t>
          </a:r>
        </a:p>
        <a:p>
          <a:pPr algn="l"/>
          <a:r>
            <a:rPr lang="en-US" sz="1100" b="0" baseline="0">
              <a:solidFill>
                <a:sysClr val="windowText" lastClr="000000"/>
              </a:solidFill>
            </a:rPr>
            <a:t>Success in this e-commerce business is defined by the ability to generate sustainable revenue while maximising profit margins. By understanding which customers, products, salespeople, and markets contribute most to profitability, the organisation can optimise pricing strategies, improve sales performance, manage costs effectively, and ultimately drive long-term business growth.</a:t>
          </a:r>
        </a:p>
        <a:p>
          <a:pPr algn="l"/>
          <a:endParaRPr lang="en-US" sz="1100">
            <a:solidFill>
              <a:sysClr val="windowText" lastClr="000000"/>
            </a:solidFill>
          </a:endParaRPr>
        </a:p>
      </xdr:txBody>
    </xdr:sp>
    <xdr:clientData/>
  </xdr:twoCellAnchor>
  <xdr:twoCellAnchor>
    <xdr:from>
      <xdr:col>0</xdr:col>
      <xdr:colOff>88900</xdr:colOff>
      <xdr:row>65</xdr:row>
      <xdr:rowOff>6350</xdr:rowOff>
    </xdr:from>
    <xdr:to>
      <xdr:col>8</xdr:col>
      <xdr:colOff>552450</xdr:colOff>
      <xdr:row>71</xdr:row>
      <xdr:rowOff>158750</xdr:rowOff>
    </xdr:to>
    <xdr:sp macro="" textlink="">
      <xdr:nvSpPr>
        <xdr:cNvPr id="5" name="Rectangle: Rounded Corners 4">
          <a:extLst>
            <a:ext uri="{FF2B5EF4-FFF2-40B4-BE49-F238E27FC236}">
              <a16:creationId xmlns:a16="http://schemas.microsoft.com/office/drawing/2014/main" id="{A501BE5E-6DBD-3B1C-3412-9D6D4F63D2BD}"/>
            </a:ext>
          </a:extLst>
        </xdr:cNvPr>
        <xdr:cNvSpPr/>
      </xdr:nvSpPr>
      <xdr:spPr>
        <a:xfrm>
          <a:off x="88900" y="11976100"/>
          <a:ext cx="5340350" cy="12573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ysClr val="windowText" lastClr="000000"/>
              </a:solidFill>
            </a:rPr>
            <a:t>TOOLS TO BE</a:t>
          </a:r>
          <a:r>
            <a:rPr lang="en-US" sz="1200" b="1" baseline="0">
              <a:solidFill>
                <a:sysClr val="windowText" lastClr="000000"/>
              </a:solidFill>
            </a:rPr>
            <a:t> USED</a:t>
          </a:r>
          <a:endParaRPr lang="en-US" sz="1200" b="1">
            <a:solidFill>
              <a:sysClr val="windowText" lastClr="000000"/>
            </a:solidFill>
          </a:endParaRPr>
        </a:p>
        <a:p>
          <a:pPr algn="l"/>
          <a:endParaRPr lang="en-US" sz="1100">
            <a:solidFill>
              <a:sysClr val="windowText" lastClr="000000"/>
            </a:solidFill>
          </a:endParaRPr>
        </a:p>
      </xdr:txBody>
    </xdr:sp>
    <xdr:clientData/>
  </xdr:twoCellAnchor>
  <xdr:twoCellAnchor>
    <xdr:from>
      <xdr:col>5</xdr:col>
      <xdr:colOff>279400</xdr:colOff>
      <xdr:row>2</xdr:row>
      <xdr:rowOff>146050</xdr:rowOff>
    </xdr:from>
    <xdr:to>
      <xdr:col>15</xdr:col>
      <xdr:colOff>266700</xdr:colOff>
      <xdr:row>7</xdr:row>
      <xdr:rowOff>12700</xdr:rowOff>
    </xdr:to>
    <xdr:sp macro="" textlink="">
      <xdr:nvSpPr>
        <xdr:cNvPr id="6" name="TextBox 5">
          <a:extLst>
            <a:ext uri="{FF2B5EF4-FFF2-40B4-BE49-F238E27FC236}">
              <a16:creationId xmlns:a16="http://schemas.microsoft.com/office/drawing/2014/main" id="{E54CEBA4-3D3D-A2E2-027C-F221ED1ECEEF}"/>
            </a:ext>
          </a:extLst>
        </xdr:cNvPr>
        <xdr:cNvSpPr txBox="1"/>
      </xdr:nvSpPr>
      <xdr:spPr>
        <a:xfrm>
          <a:off x="3327400" y="514350"/>
          <a:ext cx="6083300" cy="78740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solidFill>
                <a:schemeClr val="bg1"/>
              </a:solidFill>
              <a:latin typeface="Amasi MT PRO"/>
            </a:rPr>
            <a:t>PRE-ANALYSIS BOARD</a:t>
          </a:r>
        </a:p>
      </xdr:txBody>
    </xdr:sp>
    <xdr:clientData/>
  </xdr:twoCellAnchor>
  <xdr:twoCellAnchor>
    <xdr:from>
      <xdr:col>0</xdr:col>
      <xdr:colOff>114300</xdr:colOff>
      <xdr:row>72</xdr:row>
      <xdr:rowOff>171450</xdr:rowOff>
    </xdr:from>
    <xdr:to>
      <xdr:col>9</xdr:col>
      <xdr:colOff>146050</xdr:colOff>
      <xdr:row>111</xdr:row>
      <xdr:rowOff>101600</xdr:rowOff>
    </xdr:to>
    <xdr:sp macro="" textlink="">
      <xdr:nvSpPr>
        <xdr:cNvPr id="7" name="Rectangle: Rounded Corners 6">
          <a:extLst>
            <a:ext uri="{FF2B5EF4-FFF2-40B4-BE49-F238E27FC236}">
              <a16:creationId xmlns:a16="http://schemas.microsoft.com/office/drawing/2014/main" id="{D27336A9-85BA-756E-A504-74EFF210FE43}"/>
            </a:ext>
          </a:extLst>
        </xdr:cNvPr>
        <xdr:cNvSpPr/>
      </xdr:nvSpPr>
      <xdr:spPr>
        <a:xfrm>
          <a:off x="114300" y="13430250"/>
          <a:ext cx="5518150" cy="711200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PRE-ANALYSIS</a:t>
          </a:r>
          <a:r>
            <a:rPr lang="en-US" sz="1200" b="1" baseline="0"/>
            <a:t> CITATIONS (MOW)</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t>Sales Trend Report: </a:t>
          </a:r>
          <a:r>
            <a:rPr lang="en-US" sz="1100" b="0" baseline="0">
              <a:solidFill>
                <a:schemeClr val="lt1"/>
              </a:solidFill>
              <a:effectLst/>
              <a:latin typeface="+mn-lt"/>
              <a:ea typeface="+mn-ea"/>
              <a:cs typeface="+mn-cs"/>
            </a:rPr>
            <a:t>This is trying to find sales trend over time</a:t>
          </a:r>
          <a:endParaRPr lang="en-US" sz="1100" b="1" baseline="0"/>
        </a:p>
        <a:p>
          <a:pPr algn="l"/>
          <a:r>
            <a:rPr lang="en-US" sz="1100" b="0" baseline="0"/>
            <a:t>How to: Revenue against Order date</a:t>
          </a:r>
        </a:p>
        <a:p>
          <a:pPr algn="l"/>
          <a:r>
            <a:rPr lang="en-US" sz="1100" b="0" baseline="0"/>
            <a:t>Potential Insights: It would helps to fine tune out the months, days, with the highest sales or lower sales.</a:t>
          </a:r>
        </a:p>
        <a:p>
          <a:pPr algn="l"/>
          <a:r>
            <a:rPr lang="en-US" sz="1100" b="1" i="0" u="none" strike="noStrike">
              <a:solidFill>
                <a:schemeClr val="lt1"/>
              </a:solidFill>
              <a:effectLst/>
              <a:latin typeface="+mn-lt"/>
              <a:ea typeface="+mn-ea"/>
              <a:cs typeface="+mn-cs"/>
            </a:rPr>
            <a:t>Top 10 customers:</a:t>
          </a:r>
          <a:r>
            <a:rPr lang="en-US" sz="1100" b="1" i="0" u="none" strike="noStrike" baseline="0">
              <a:solidFill>
                <a:schemeClr val="lt1"/>
              </a:solidFill>
              <a:effectLst/>
              <a:latin typeface="+mn-lt"/>
              <a:ea typeface="+mn-ea"/>
              <a:cs typeface="+mn-cs"/>
            </a:rPr>
            <a:t> </a:t>
          </a:r>
          <a:r>
            <a:rPr lang="en-US" sz="1100" b="0" i="0" u="none" strike="noStrike" baseline="0">
              <a:solidFill>
                <a:schemeClr val="lt1"/>
              </a:solidFill>
              <a:effectLst/>
              <a:latin typeface="+mn-lt"/>
              <a:ea typeface="+mn-ea"/>
              <a:cs typeface="+mn-cs"/>
            </a:rPr>
            <a:t>This is trying to find the top 10 customers that gave the highest revenue</a:t>
          </a:r>
          <a:endParaRPr lang="en-US" b="0">
            <a:effectLst/>
          </a:endParaRPr>
        </a:p>
        <a:p>
          <a:r>
            <a:rPr lang="en-US" sz="1100" b="0" baseline="0">
              <a:solidFill>
                <a:schemeClr val="lt1"/>
              </a:solidFill>
              <a:effectLst/>
              <a:latin typeface="+mn-lt"/>
              <a:ea typeface="+mn-ea"/>
              <a:cs typeface="+mn-cs"/>
            </a:rPr>
            <a:t>How to: Customer against Revenue</a:t>
          </a:r>
          <a:endParaRPr lang="en-US">
            <a:effectLst/>
          </a:endParaRPr>
        </a:p>
        <a:p>
          <a:r>
            <a:rPr lang="en-US" sz="1100" b="0" baseline="0">
              <a:solidFill>
                <a:schemeClr val="lt1"/>
              </a:solidFill>
              <a:effectLst/>
              <a:latin typeface="+mn-lt"/>
              <a:ea typeface="+mn-ea"/>
              <a:cs typeface="+mn-cs"/>
            </a:rPr>
            <a:t>Potential Insights: This helps us to the customer that gave the highest sales. </a:t>
          </a:r>
          <a:endParaRPr lang="en-US" b="1">
            <a:effectLst/>
          </a:endParaRPr>
        </a:p>
        <a:p>
          <a:pPr algn="l"/>
          <a:r>
            <a:rPr lang="en-US" sz="1100" b="1" i="0" u="none" strike="noStrike">
              <a:solidFill>
                <a:schemeClr val="lt1"/>
              </a:solidFill>
              <a:effectLst/>
              <a:latin typeface="+mn-lt"/>
              <a:ea typeface="+mn-ea"/>
              <a:cs typeface="+mn-cs"/>
            </a:rPr>
            <a:t>Sales by Rep: </a:t>
          </a:r>
          <a:r>
            <a:rPr lang="en-US" sz="1100" b="0" i="0" u="none" strike="noStrike">
              <a:solidFill>
                <a:schemeClr val="lt1"/>
              </a:solidFill>
              <a:effectLst/>
              <a:latin typeface="+mn-lt"/>
              <a:ea typeface="+mn-ea"/>
              <a:cs typeface="+mn-cs"/>
            </a:rPr>
            <a:t>This is trying to find the salepsperson</a:t>
          </a:r>
          <a:r>
            <a:rPr lang="en-US" sz="1100" b="0" i="0" u="none" strike="noStrike" baseline="0">
              <a:solidFill>
                <a:schemeClr val="lt1"/>
              </a:solidFill>
              <a:effectLst/>
              <a:latin typeface="+mn-lt"/>
              <a:ea typeface="+mn-ea"/>
              <a:cs typeface="+mn-cs"/>
            </a:rPr>
            <a:t> that gave the highest sales/revenue</a:t>
          </a:r>
          <a:endParaRPr lang="en-US" sz="1100" b="1" i="0" u="none" strike="noStrike">
            <a:solidFill>
              <a:schemeClr val="lt1"/>
            </a:solidFill>
            <a:effectLst/>
            <a:latin typeface="+mn-lt"/>
            <a:ea typeface="+mn-ea"/>
            <a:cs typeface="+mn-cs"/>
          </a:endParaRPr>
        </a:p>
        <a:p>
          <a:r>
            <a:rPr lang="en-US" sz="1100" b="0" baseline="0">
              <a:solidFill>
                <a:schemeClr val="lt1"/>
              </a:solidFill>
              <a:effectLst/>
              <a:latin typeface="+mn-lt"/>
              <a:ea typeface="+mn-ea"/>
              <a:cs typeface="+mn-cs"/>
            </a:rPr>
            <a:t>How to: Salesperson against Revenue</a:t>
          </a:r>
          <a:endParaRPr lang="en-US">
            <a:effectLst/>
          </a:endParaRPr>
        </a:p>
        <a:p>
          <a:r>
            <a:rPr lang="en-US" sz="1100" b="0" baseline="0">
              <a:solidFill>
                <a:schemeClr val="lt1"/>
              </a:solidFill>
              <a:effectLst/>
              <a:latin typeface="+mn-lt"/>
              <a:ea typeface="+mn-ea"/>
              <a:cs typeface="+mn-cs"/>
            </a:rPr>
            <a:t>Potential Insights:</a:t>
          </a:r>
          <a:r>
            <a:rPr lang="en-US" b="1">
              <a:effectLst/>
            </a:rPr>
            <a:t> </a:t>
          </a:r>
          <a:r>
            <a:rPr lang="en-US" b="0">
              <a:effectLst/>
            </a:rPr>
            <a:t>It</a:t>
          </a:r>
          <a:r>
            <a:rPr lang="en-US" b="0" baseline="0">
              <a:effectLst/>
            </a:rPr>
            <a:t> helps us to find out the salesperson with the highest sales or lower sales of the year. </a:t>
          </a:r>
          <a:endParaRPr lang="en-US" b="1">
            <a:effectLst/>
          </a:endParaRPr>
        </a:p>
        <a:p>
          <a:pPr algn="l"/>
          <a:r>
            <a:rPr lang="en-US" sz="1100" b="1" i="0" u="none" strike="noStrike">
              <a:solidFill>
                <a:schemeClr val="lt1"/>
              </a:solidFill>
              <a:effectLst/>
              <a:latin typeface="+mn-lt"/>
              <a:ea typeface="+mn-ea"/>
              <a:cs typeface="+mn-cs"/>
            </a:rPr>
            <a:t>Sales by Region:</a:t>
          </a:r>
          <a:r>
            <a:rPr lang="en-US" sz="1100" b="1" i="0" u="none" strike="noStrike" baseline="0">
              <a:solidFill>
                <a:schemeClr val="lt1"/>
              </a:solidFill>
              <a:effectLst/>
              <a:latin typeface="+mn-lt"/>
              <a:ea typeface="+mn-ea"/>
              <a:cs typeface="+mn-cs"/>
            </a:rPr>
            <a:t> </a:t>
          </a:r>
          <a:r>
            <a:rPr lang="en-US" sz="1100" b="0" i="0" u="none" strike="noStrike" baseline="0">
              <a:solidFill>
                <a:schemeClr val="lt1"/>
              </a:solidFill>
              <a:effectLst/>
              <a:latin typeface="+mn-lt"/>
              <a:ea typeface="+mn-ea"/>
              <a:cs typeface="+mn-cs"/>
            </a:rPr>
            <a:t>This is trying to find the region with the highest or lowest sales.</a:t>
          </a:r>
          <a:endParaRPr lang="en-US" b="1">
            <a:effectLst/>
          </a:endParaRPr>
        </a:p>
        <a:p>
          <a:r>
            <a:rPr lang="en-US" sz="1100" b="0" baseline="0">
              <a:solidFill>
                <a:schemeClr val="lt1"/>
              </a:solidFill>
              <a:effectLst/>
              <a:latin typeface="+mn-lt"/>
              <a:ea typeface="+mn-ea"/>
              <a:cs typeface="+mn-cs"/>
            </a:rPr>
            <a:t>How to: Region against Revenue</a:t>
          </a:r>
          <a:endParaRPr lang="en-US">
            <a:effectLst/>
          </a:endParaRPr>
        </a:p>
        <a:p>
          <a:r>
            <a:rPr lang="en-US" sz="1100" b="0" baseline="0">
              <a:solidFill>
                <a:schemeClr val="lt1"/>
              </a:solidFill>
              <a:effectLst/>
              <a:latin typeface="+mn-lt"/>
              <a:ea typeface="+mn-ea"/>
              <a:cs typeface="+mn-cs"/>
            </a:rPr>
            <a:t>Potential Insights: This helps us to know the region with the highest or lowest sale/revenue of the year. </a:t>
          </a:r>
          <a:endParaRPr lang="en-US" b="1">
            <a:effectLst/>
          </a:endParaRPr>
        </a:p>
        <a:p>
          <a:pPr algn="l"/>
          <a:r>
            <a:rPr lang="en-US" sz="1100" b="1" i="0" u="none" strike="noStrike">
              <a:solidFill>
                <a:schemeClr val="lt1"/>
              </a:solidFill>
              <a:effectLst/>
              <a:latin typeface="+mn-lt"/>
              <a:ea typeface="+mn-ea"/>
              <a:cs typeface="+mn-cs"/>
            </a:rPr>
            <a:t>Transaction by Amount: </a:t>
          </a:r>
          <a:r>
            <a:rPr lang="en-US" sz="1100" b="0" i="0" u="none" strike="noStrike">
              <a:solidFill>
                <a:schemeClr val="lt1"/>
              </a:solidFill>
              <a:effectLst/>
              <a:latin typeface="+mn-lt"/>
              <a:ea typeface="+mn-ea"/>
              <a:cs typeface="+mn-cs"/>
            </a:rPr>
            <a:t>This is trying to find tune out the range of price that</a:t>
          </a:r>
          <a:r>
            <a:rPr lang="en-US" sz="1100" b="0" i="0" u="none" strike="noStrike" baseline="0">
              <a:solidFill>
                <a:schemeClr val="lt1"/>
              </a:solidFill>
              <a:effectLst/>
              <a:latin typeface="+mn-lt"/>
              <a:ea typeface="+mn-ea"/>
              <a:cs typeface="+mn-cs"/>
            </a:rPr>
            <a:t> gave</a:t>
          </a:r>
          <a:r>
            <a:rPr lang="en-US" sz="1100" b="0" i="0" u="none" strike="noStrike">
              <a:solidFill>
                <a:schemeClr val="lt1"/>
              </a:solidFill>
              <a:effectLst/>
              <a:latin typeface="+mn-lt"/>
              <a:ea typeface="+mn-ea"/>
              <a:cs typeface="+mn-cs"/>
            </a:rPr>
            <a:t> the highest or lowest revenue/count.  </a:t>
          </a:r>
          <a:endParaRPr lang="en-US" sz="1100" b="1" i="0" u="none" strike="noStrike">
            <a:solidFill>
              <a:schemeClr val="lt1"/>
            </a:solidFill>
            <a:effectLst/>
            <a:latin typeface="+mn-lt"/>
            <a:ea typeface="+mn-ea"/>
            <a:cs typeface="+mn-cs"/>
          </a:endParaRPr>
        </a:p>
        <a:p>
          <a:r>
            <a:rPr lang="en-US" sz="1100" b="0" baseline="0">
              <a:solidFill>
                <a:schemeClr val="lt1"/>
              </a:solidFill>
              <a:effectLst/>
              <a:latin typeface="+mn-lt"/>
              <a:ea typeface="+mn-ea"/>
              <a:cs typeface="+mn-cs"/>
            </a:rPr>
            <a:t>How to: Revenue against revenue.</a:t>
          </a:r>
          <a:endParaRPr lang="en-US">
            <a:effectLst/>
          </a:endParaRPr>
        </a:p>
        <a:p>
          <a:r>
            <a:rPr lang="en-US" sz="1100" b="0" baseline="0">
              <a:solidFill>
                <a:schemeClr val="lt1"/>
              </a:solidFill>
              <a:effectLst/>
              <a:latin typeface="+mn-lt"/>
              <a:ea typeface="+mn-ea"/>
              <a:cs typeface="+mn-cs"/>
            </a:rPr>
            <a:t>Potential Insights:</a:t>
          </a:r>
          <a:r>
            <a:rPr lang="en-US" b="1">
              <a:effectLst/>
            </a:rPr>
            <a:t> </a:t>
          </a:r>
          <a:r>
            <a:rPr lang="en-US" b="0">
              <a:effectLst/>
            </a:rPr>
            <a:t>This</a:t>
          </a:r>
          <a:r>
            <a:rPr lang="en-US" b="0" baseline="0">
              <a:effectLst/>
            </a:rPr>
            <a:t> helps us to know the range of price with the highest revenue/count. </a:t>
          </a:r>
          <a:endParaRPr lang="en-US" b="1">
            <a:effectLst/>
          </a:endParaRPr>
        </a:p>
        <a:p>
          <a:pPr algn="l"/>
          <a:r>
            <a:rPr lang="en-US" sz="1100" b="1" i="0" u="none" strike="noStrike">
              <a:solidFill>
                <a:schemeClr val="lt1"/>
              </a:solidFill>
              <a:effectLst/>
              <a:latin typeface="+mn-lt"/>
              <a:ea typeface="+mn-ea"/>
              <a:cs typeface="+mn-cs"/>
            </a:rPr>
            <a:t>Sales By Product category: </a:t>
          </a:r>
          <a:r>
            <a:rPr lang="en-US" sz="1100" b="0" i="0" u="none" strike="noStrike">
              <a:solidFill>
                <a:schemeClr val="lt1"/>
              </a:solidFill>
              <a:effectLst/>
              <a:latin typeface="+mn-lt"/>
              <a:ea typeface="+mn-ea"/>
              <a:cs typeface="+mn-cs"/>
            </a:rPr>
            <a:t>This trying to find out the product category with highest sales or lowest sales.</a:t>
          </a:r>
          <a:r>
            <a:rPr lang="en-US" sz="1100" b="1" i="0" u="none" strike="noStrike">
              <a:solidFill>
                <a:schemeClr val="lt1"/>
              </a:solidFill>
              <a:effectLst/>
              <a:latin typeface="+mn-lt"/>
              <a:ea typeface="+mn-ea"/>
              <a:cs typeface="+mn-cs"/>
            </a:rPr>
            <a:t> </a:t>
          </a:r>
        </a:p>
        <a:p>
          <a:r>
            <a:rPr lang="en-US" sz="1100" b="0" baseline="0">
              <a:solidFill>
                <a:schemeClr val="lt1"/>
              </a:solidFill>
              <a:effectLst/>
              <a:latin typeface="+mn-lt"/>
              <a:ea typeface="+mn-ea"/>
              <a:cs typeface="+mn-cs"/>
            </a:rPr>
            <a:t>How to: Product category against Revenue</a:t>
          </a:r>
          <a:endParaRPr lang="en-US">
            <a:effectLst/>
          </a:endParaRPr>
        </a:p>
        <a:p>
          <a:r>
            <a:rPr lang="en-US" sz="1100" b="0" baseline="0">
              <a:solidFill>
                <a:schemeClr val="lt1"/>
              </a:solidFill>
              <a:effectLst/>
              <a:latin typeface="+mn-lt"/>
              <a:ea typeface="+mn-ea"/>
              <a:cs typeface="+mn-cs"/>
            </a:rPr>
            <a:t>Potential Insights: It helps us to know the product category that gave the highest sales/revenue.</a:t>
          </a:r>
          <a:endParaRPr lang="en-US" b="1">
            <a:effectLst/>
          </a:endParaRPr>
        </a:p>
        <a:p>
          <a:pPr algn="l"/>
          <a:r>
            <a:rPr lang="en-US" sz="1100" b="1" i="0" u="none" strike="noStrike">
              <a:solidFill>
                <a:schemeClr val="lt1"/>
              </a:solidFill>
              <a:effectLst/>
              <a:latin typeface="+mn-lt"/>
              <a:ea typeface="+mn-ea"/>
              <a:cs typeface="+mn-cs"/>
            </a:rPr>
            <a:t>Top 6 ship cities by revenue: </a:t>
          </a:r>
          <a:r>
            <a:rPr lang="en-US" sz="1100" b="0" i="0" u="none" strike="noStrike">
              <a:solidFill>
                <a:schemeClr val="lt1"/>
              </a:solidFill>
              <a:effectLst/>
              <a:latin typeface="+mn-lt"/>
              <a:ea typeface="+mn-ea"/>
              <a:cs typeface="+mn-cs"/>
            </a:rPr>
            <a:t>This is trying to find out the top 6 ship sities that gave the highest revenue.  </a:t>
          </a:r>
          <a:endParaRPr lang="en-US" sz="1100" b="1" i="0" u="none" strike="noStrike">
            <a:solidFill>
              <a:schemeClr val="lt1"/>
            </a:solidFill>
            <a:effectLst/>
            <a:latin typeface="+mn-lt"/>
            <a:ea typeface="+mn-ea"/>
            <a:cs typeface="+mn-cs"/>
          </a:endParaRPr>
        </a:p>
        <a:p>
          <a:r>
            <a:rPr lang="en-US" sz="1100" b="0" baseline="0">
              <a:solidFill>
                <a:schemeClr val="lt1"/>
              </a:solidFill>
              <a:effectLst/>
              <a:latin typeface="+mn-lt"/>
              <a:ea typeface="+mn-ea"/>
              <a:cs typeface="+mn-cs"/>
            </a:rPr>
            <a:t>How to: Ship cities against Revenue</a:t>
          </a:r>
          <a:endParaRPr lang="en-US">
            <a:effectLst/>
          </a:endParaRPr>
        </a:p>
        <a:p>
          <a:r>
            <a:rPr lang="en-US" sz="1100" b="0" baseline="0">
              <a:solidFill>
                <a:schemeClr val="lt1"/>
              </a:solidFill>
              <a:effectLst/>
              <a:latin typeface="+mn-lt"/>
              <a:ea typeface="+mn-ea"/>
              <a:cs typeface="+mn-cs"/>
            </a:rPr>
            <a:t>Potential Insights:</a:t>
          </a:r>
          <a:r>
            <a:rPr lang="en-US" sz="1100" b="1" i="0" u="none" strike="noStrike">
              <a:solidFill>
                <a:schemeClr val="lt1"/>
              </a:solidFill>
              <a:effectLst/>
              <a:latin typeface="+mn-lt"/>
              <a:ea typeface="+mn-ea"/>
              <a:cs typeface="+mn-cs"/>
            </a:rPr>
            <a:t> </a:t>
          </a:r>
          <a:r>
            <a:rPr lang="en-US" b="1">
              <a:effectLst/>
            </a:rPr>
            <a:t> </a:t>
          </a:r>
          <a:r>
            <a:rPr lang="en-US" b="0">
              <a:effectLst/>
            </a:rPr>
            <a:t>It helps us to know the ship cities</a:t>
          </a:r>
          <a:r>
            <a:rPr lang="en-US" b="0" baseline="0">
              <a:effectLst/>
            </a:rPr>
            <a:t> with the highest revenue or lowest sales. </a:t>
          </a:r>
          <a:endParaRPr lang="en-US" b="1">
            <a:effectLst/>
          </a:endParaRPr>
        </a:p>
        <a:p>
          <a:pPr algn="l"/>
          <a:r>
            <a:rPr lang="en-US" sz="1100" b="1" i="0" u="none" strike="noStrike">
              <a:solidFill>
                <a:schemeClr val="lt1"/>
              </a:solidFill>
              <a:effectLst/>
              <a:latin typeface="+mn-lt"/>
              <a:ea typeface="+mn-ea"/>
              <a:cs typeface="+mn-cs"/>
            </a:rPr>
            <a:t>Top 5 cities By revenue: </a:t>
          </a:r>
          <a:r>
            <a:rPr lang="en-US" sz="1100" b="0" i="0" u="none" strike="noStrike">
              <a:solidFill>
                <a:schemeClr val="lt1"/>
              </a:solidFill>
              <a:effectLst/>
              <a:latin typeface="+mn-lt"/>
              <a:ea typeface="+mn-ea"/>
              <a:cs typeface="+mn-cs"/>
            </a:rPr>
            <a:t>This is trying to find out the top 5 cities with</a:t>
          </a:r>
          <a:r>
            <a:rPr lang="en-US" sz="1100" b="0" i="0" u="none" strike="noStrike" baseline="0">
              <a:solidFill>
                <a:schemeClr val="lt1"/>
              </a:solidFill>
              <a:effectLst/>
              <a:latin typeface="+mn-lt"/>
              <a:ea typeface="+mn-ea"/>
              <a:cs typeface="+mn-cs"/>
            </a:rPr>
            <a:t> the highest revenue. </a:t>
          </a:r>
          <a:r>
            <a:rPr lang="en-US" sz="1100" b="1" i="0" u="none" strike="noStrike">
              <a:solidFill>
                <a:schemeClr val="lt1"/>
              </a:solidFill>
              <a:effectLst/>
              <a:latin typeface="+mn-lt"/>
              <a:ea typeface="+mn-ea"/>
              <a:cs typeface="+mn-cs"/>
            </a:rPr>
            <a:t> </a:t>
          </a:r>
        </a:p>
        <a:p>
          <a:r>
            <a:rPr lang="en-US" sz="1100" b="0" baseline="0">
              <a:solidFill>
                <a:schemeClr val="lt1"/>
              </a:solidFill>
              <a:effectLst/>
              <a:latin typeface="+mn-lt"/>
              <a:ea typeface="+mn-ea"/>
              <a:cs typeface="+mn-cs"/>
            </a:rPr>
            <a:t>How to: Cities against Revenue</a:t>
          </a:r>
          <a:endParaRPr lang="en-US">
            <a:effectLst/>
          </a:endParaRPr>
        </a:p>
        <a:p>
          <a:r>
            <a:rPr lang="en-US" sz="1100" b="0" baseline="0">
              <a:solidFill>
                <a:schemeClr val="lt1"/>
              </a:solidFill>
              <a:effectLst/>
              <a:latin typeface="+mn-lt"/>
              <a:ea typeface="+mn-ea"/>
              <a:cs typeface="+mn-cs"/>
            </a:rPr>
            <a:t>Potential Insights:</a:t>
          </a:r>
          <a:r>
            <a:rPr lang="en-US" b="1">
              <a:effectLst/>
            </a:rPr>
            <a:t> </a:t>
          </a:r>
          <a:r>
            <a:rPr lang="en-US" b="0">
              <a:effectLst/>
            </a:rPr>
            <a:t>It helps us the cities</a:t>
          </a:r>
          <a:r>
            <a:rPr lang="en-US" b="0" baseline="0">
              <a:effectLst/>
            </a:rPr>
            <a:t> with the highest revenue</a:t>
          </a:r>
          <a:endParaRPr lang="en-US" sz="1100" b="1" baseline="0"/>
        </a:p>
        <a:p>
          <a:pPr algn="l"/>
          <a:endParaRPr lang="en-US" sz="1200" b="1" baseline="0"/>
        </a:p>
        <a:p>
          <a:pPr algn="l"/>
          <a:endParaRPr lang="en-US" sz="1100"/>
        </a:p>
      </xdr:txBody>
    </xdr:sp>
    <xdr:clientData/>
  </xdr:twoCellAnchor>
  <xdr:twoCellAnchor>
    <xdr:from>
      <xdr:col>19</xdr:col>
      <xdr:colOff>368300</xdr:colOff>
      <xdr:row>8</xdr:row>
      <xdr:rowOff>50800</xdr:rowOff>
    </xdr:from>
    <xdr:to>
      <xdr:col>29</xdr:col>
      <xdr:colOff>260350</xdr:colOff>
      <xdr:row>80</xdr:row>
      <xdr:rowOff>6350</xdr:rowOff>
    </xdr:to>
    <xdr:sp macro="" textlink="">
      <xdr:nvSpPr>
        <xdr:cNvPr id="8" name="Rectangle: Rounded Corners 7">
          <a:extLst>
            <a:ext uri="{FF2B5EF4-FFF2-40B4-BE49-F238E27FC236}">
              <a16:creationId xmlns:a16="http://schemas.microsoft.com/office/drawing/2014/main" id="{11197C5B-5270-905C-4703-E783BC016876}"/>
            </a:ext>
          </a:extLst>
        </xdr:cNvPr>
        <xdr:cNvSpPr/>
      </xdr:nvSpPr>
      <xdr:spPr>
        <a:xfrm>
          <a:off x="11950700" y="1524000"/>
          <a:ext cx="5988050" cy="13214350"/>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lt1"/>
              </a:solidFill>
              <a:effectLst/>
              <a:latin typeface="+mn-lt"/>
              <a:ea typeface="+mn-ea"/>
              <a:cs typeface="+mn-cs"/>
            </a:rPr>
            <a:t>PRE-ANALYSIS</a:t>
          </a:r>
          <a:r>
            <a:rPr lang="en-US" sz="1200" b="1" baseline="0">
              <a:solidFill>
                <a:schemeClr val="lt1"/>
              </a:solidFill>
              <a:effectLst/>
              <a:latin typeface="+mn-lt"/>
              <a:ea typeface="+mn-ea"/>
              <a:cs typeface="+mn-cs"/>
            </a:rPr>
            <a:t> CITATIONS </a:t>
          </a:r>
        </a:p>
        <a:p>
          <a:pPr algn="l"/>
          <a:r>
            <a:rPr lang="en-US" b="1"/>
            <a:t>1. Sales Trend Analysis</a:t>
          </a:r>
        </a:p>
        <a:p>
          <a:r>
            <a:rPr lang="en-US" b="1"/>
            <a:t>Objective:</a:t>
          </a:r>
          <a:r>
            <a:rPr lang="en-US"/>
            <a:t> Examine how sales revenue evolves over time to understand overall business performance patterns.</a:t>
          </a:r>
          <a:br>
            <a:rPr lang="en-US"/>
          </a:br>
          <a:r>
            <a:rPr lang="en-US" b="1"/>
            <a:t>Analytical Approach:</a:t>
          </a:r>
          <a:r>
            <a:rPr lang="en-US"/>
            <a:t> Plot revenue against order date, segmented by day, month, and year where applicable.</a:t>
          </a:r>
          <a:br>
            <a:rPr lang="en-US"/>
          </a:br>
          <a:r>
            <a:rPr lang="en-US" b="1"/>
            <a:t>Expected Business Insights:</a:t>
          </a:r>
          <a:endParaRPr lang="en-US"/>
        </a:p>
        <a:p>
          <a:r>
            <a:rPr lang="en-US"/>
            <a:t>Identification of peak sales periods and seasonal trends.</a:t>
          </a:r>
        </a:p>
        <a:p>
          <a:r>
            <a:rPr lang="en-US"/>
            <a:t>Recognition of low-performing periods that may require promotional or pricing interventions.</a:t>
          </a:r>
        </a:p>
        <a:p>
          <a:r>
            <a:rPr lang="en-US"/>
            <a:t>Support for demand forecasting, inventory planning, and revenue target setting.</a:t>
          </a:r>
          <a:br>
            <a:rPr lang="en-US"/>
          </a:br>
          <a:endParaRPr lang="en-US"/>
        </a:p>
        <a:p>
          <a:r>
            <a:rPr lang="en-US" b="1"/>
            <a:t>2. Top 10 Customers by Revenue</a:t>
          </a:r>
        </a:p>
        <a:p>
          <a:r>
            <a:rPr lang="en-US" b="1"/>
            <a:t>Objective:</a:t>
          </a:r>
          <a:r>
            <a:rPr lang="en-US"/>
            <a:t> Identify the most valuable customers based on revenue contribution.</a:t>
          </a:r>
          <a:br>
            <a:rPr lang="en-US"/>
          </a:br>
          <a:r>
            <a:rPr lang="en-US" b="1"/>
            <a:t>Analytical Approach:</a:t>
          </a:r>
          <a:r>
            <a:rPr lang="en-US"/>
            <a:t> Aggregate revenue by customer and rank the top 10 contributors.</a:t>
          </a:r>
          <a:br>
            <a:rPr lang="en-US"/>
          </a:br>
          <a:r>
            <a:rPr lang="en-US" b="1"/>
            <a:t>Expected Business Insights:</a:t>
          </a:r>
          <a:endParaRPr lang="en-US"/>
        </a:p>
        <a:p>
          <a:r>
            <a:rPr lang="en-US"/>
            <a:t>Clear visibility into high-value customers driving a large share of total revenue.</a:t>
          </a:r>
        </a:p>
        <a:p>
          <a:r>
            <a:rPr lang="en-US"/>
            <a:t>Opportunities for targeted retention strategies, loyalty programs, and personalised offers.</a:t>
          </a:r>
        </a:p>
        <a:p>
          <a:r>
            <a:rPr lang="en-US"/>
            <a:t>Risk assessment related to revenue concentration among a small customer group.</a:t>
          </a:r>
          <a:br>
            <a:rPr lang="en-US"/>
          </a:br>
          <a:endParaRPr lang="en-US"/>
        </a:p>
        <a:p>
          <a:r>
            <a:rPr lang="en-US" b="1"/>
            <a:t>3. Sales Performance by Sales Representative</a:t>
          </a:r>
        </a:p>
        <a:p>
          <a:r>
            <a:rPr lang="en-US" b="1"/>
            <a:t>Objective:</a:t>
          </a:r>
          <a:r>
            <a:rPr lang="en-US"/>
            <a:t> Evaluate individual salesperson contributions to overall revenue.</a:t>
          </a:r>
          <a:br>
            <a:rPr lang="en-US"/>
          </a:br>
          <a:r>
            <a:rPr lang="en-US" b="1"/>
            <a:t>Analytical Approach:</a:t>
          </a:r>
          <a:r>
            <a:rPr lang="en-US"/>
            <a:t> Compare revenue generated by each salesperson over the analysis period.</a:t>
          </a:r>
          <a:br>
            <a:rPr lang="en-US"/>
          </a:br>
          <a:r>
            <a:rPr lang="en-US" b="1"/>
            <a:t>Expected Business Insights:</a:t>
          </a:r>
          <a:endParaRPr lang="en-US"/>
        </a:p>
        <a:p>
          <a:r>
            <a:rPr lang="en-US"/>
            <a:t>Identification of top-performing sales representatives and best practices.</a:t>
          </a:r>
        </a:p>
        <a:p>
          <a:r>
            <a:rPr lang="en-US"/>
            <a:t>Detection of underperforming sales staff requiring training or support.</a:t>
          </a:r>
        </a:p>
        <a:p>
          <a:r>
            <a:rPr lang="en-US"/>
            <a:t>Data-driven input for performance reviews, commissions, and incentive structures.</a:t>
          </a:r>
          <a:br>
            <a:rPr lang="en-US"/>
          </a:br>
          <a:endParaRPr lang="en-US"/>
        </a:p>
        <a:p>
          <a:r>
            <a:rPr lang="en-US" b="1"/>
            <a:t>4. Sales Performance by Region</a:t>
          </a:r>
        </a:p>
        <a:p>
          <a:r>
            <a:rPr lang="en-US" b="1"/>
            <a:t>Objective:</a:t>
          </a:r>
          <a:r>
            <a:rPr lang="en-US"/>
            <a:t> Assess regional sales performance and market strength.</a:t>
          </a:r>
          <a:br>
            <a:rPr lang="en-US"/>
          </a:br>
          <a:r>
            <a:rPr lang="en-US" b="1"/>
            <a:t>Analytical Approach:</a:t>
          </a:r>
          <a:r>
            <a:rPr lang="en-US"/>
            <a:t> Analyse revenue distribution across regions.</a:t>
          </a:r>
          <a:br>
            <a:rPr lang="en-US"/>
          </a:br>
          <a:r>
            <a:rPr lang="en-US" b="1"/>
            <a:t>Expected Business Insights:</a:t>
          </a:r>
          <a:endParaRPr lang="en-US"/>
        </a:p>
        <a:p>
          <a:r>
            <a:rPr lang="en-US"/>
            <a:t>Identification of high-growth and underperforming regions.</a:t>
          </a:r>
        </a:p>
        <a:p>
          <a:r>
            <a:rPr lang="en-US"/>
            <a:t>Support for regional expansion, pricing adjustments, and marketing investment decisions.</a:t>
          </a:r>
        </a:p>
        <a:p>
          <a:r>
            <a:rPr lang="en-US"/>
            <a:t>Understanding geographic demand patterns and regional customer behaviour.</a:t>
          </a:r>
        </a:p>
        <a:p>
          <a:endParaRPr lang="en-US"/>
        </a:p>
        <a:p>
          <a:r>
            <a:rPr lang="en-US" b="1"/>
            <a:t>5. Transaction by Amount</a:t>
          </a:r>
          <a:r>
            <a:rPr lang="en-US" b="1" baseline="0"/>
            <a:t> </a:t>
          </a:r>
        </a:p>
        <a:p>
          <a:r>
            <a:rPr lang="en-US" b="1"/>
            <a:t>Objective:</a:t>
          </a:r>
          <a:br>
            <a:rPr lang="en-US"/>
          </a:br>
          <a:r>
            <a:rPr lang="en-US"/>
            <a:t>To identify the transaction amount range with the highest number of transactions and understand customer purchasing behaviour across different spend levels.</a:t>
          </a:r>
        </a:p>
        <a:p>
          <a:r>
            <a:rPr lang="en-US" b="1"/>
            <a:t>Analytical Approach:</a:t>
          </a:r>
          <a:br>
            <a:rPr lang="en-US"/>
          </a:br>
          <a:r>
            <a:rPr lang="en-US"/>
            <a:t>Analyse transaction amount ranges against transaction count (revenue against revenue) using a column chart to visualise frequency distribution.</a:t>
          </a:r>
        </a:p>
        <a:p>
          <a:r>
            <a:rPr lang="en-US" b="1"/>
            <a:t>Expected Insights:</a:t>
          </a:r>
          <a:endParaRPr lang="en-US"/>
        </a:p>
        <a:p>
          <a:r>
            <a:rPr lang="en-US"/>
            <a:t>Identify the highest transaction value range.</a:t>
          </a:r>
        </a:p>
        <a:p>
          <a:r>
            <a:rPr lang="en-US"/>
            <a:t>Understand customer spending patterns.</a:t>
          </a:r>
        </a:p>
        <a:p>
          <a:r>
            <a:rPr lang="en-US"/>
            <a:t>Highlight opportunities for pricing strategy, product bundling, and targeted promotions.</a:t>
          </a:r>
        </a:p>
        <a:p>
          <a:endParaRPr lang="en-US"/>
        </a:p>
        <a:p>
          <a:r>
            <a:rPr lang="en-US" b="1"/>
            <a:t>6. Sales by Product Category</a:t>
          </a:r>
        </a:p>
        <a:p>
          <a:r>
            <a:rPr lang="en-US" b="1"/>
            <a:t>Objective:</a:t>
          </a:r>
          <a:r>
            <a:rPr lang="en-US"/>
            <a:t> Analyse revenue performance across different product categories.</a:t>
          </a:r>
          <a:br>
            <a:rPr lang="en-US"/>
          </a:br>
          <a:r>
            <a:rPr lang="en-US" b="1"/>
            <a:t>Analytical Approach:</a:t>
          </a:r>
          <a:r>
            <a:rPr lang="en-US"/>
            <a:t> Aggregate and compare revenue by product category.</a:t>
          </a:r>
          <a:br>
            <a:rPr lang="en-US"/>
          </a:br>
          <a:r>
            <a:rPr lang="en-US" b="1"/>
            <a:t>Expected Business Insights:</a:t>
          </a:r>
          <a:endParaRPr lang="en-US"/>
        </a:p>
        <a:p>
          <a:r>
            <a:rPr lang="en-US"/>
            <a:t>Identification of high-performing and low-performing categories.</a:t>
          </a:r>
        </a:p>
        <a:p>
          <a:r>
            <a:rPr lang="en-US"/>
            <a:t>Support for product portfolio optimisation and inventory prioritisation.</a:t>
          </a:r>
        </a:p>
        <a:p>
          <a:r>
            <a:rPr lang="en-US"/>
            <a:t>Insights into customer demand trends across product segments.</a:t>
          </a:r>
          <a:br>
            <a:rPr lang="en-US"/>
          </a:br>
          <a:endParaRPr lang="en-US"/>
        </a:p>
        <a:p>
          <a:r>
            <a:rPr lang="en-US" b="1"/>
            <a:t>7. Top 6 Shipping Cities by Revenue</a:t>
          </a:r>
        </a:p>
        <a:p>
          <a:r>
            <a:rPr lang="en-US" b="1"/>
            <a:t>Objective:</a:t>
          </a:r>
          <a:r>
            <a:rPr lang="en-US"/>
            <a:t> Identify shipping destinations contributing the highest revenue.</a:t>
          </a:r>
          <a:br>
            <a:rPr lang="en-US"/>
          </a:br>
          <a:r>
            <a:rPr lang="en-US" b="1"/>
            <a:t>Analytical Approach:</a:t>
          </a:r>
          <a:r>
            <a:rPr lang="en-US"/>
            <a:t> Rank shipping cities based on revenue generated.</a:t>
          </a:r>
          <a:br>
            <a:rPr lang="en-US"/>
          </a:br>
          <a:r>
            <a:rPr lang="en-US" b="1"/>
            <a:t>Expected Business Insights:</a:t>
          </a:r>
          <a:endParaRPr lang="en-US"/>
        </a:p>
        <a:p>
          <a:r>
            <a:rPr lang="en-US"/>
            <a:t>Recognition of key logistics locations driving sales.</a:t>
          </a:r>
        </a:p>
        <a:p>
          <a:r>
            <a:rPr lang="en-US"/>
            <a:t>Support for shipping cost optimisation and distribution planning.</a:t>
          </a:r>
        </a:p>
        <a:p>
          <a:r>
            <a:rPr lang="en-US"/>
            <a:t>Improved alignment between logistics strategy and revenue performance.</a:t>
          </a:r>
          <a:br>
            <a:rPr lang="en-US"/>
          </a:br>
          <a:endParaRPr lang="en-US"/>
        </a:p>
        <a:p>
          <a:r>
            <a:rPr lang="en-US" b="1"/>
            <a:t>8. Top 5 Cities by Revenue</a:t>
          </a:r>
        </a:p>
        <a:p>
          <a:r>
            <a:rPr lang="en-US" b="1"/>
            <a:t>Objective:</a:t>
          </a:r>
          <a:r>
            <a:rPr lang="en-US"/>
            <a:t> Determine the cities with the strongest overall revenue contribution.</a:t>
          </a:r>
          <a:br>
            <a:rPr lang="en-US"/>
          </a:br>
          <a:r>
            <a:rPr lang="en-US" b="1"/>
            <a:t>Analytical Approach:</a:t>
          </a:r>
          <a:r>
            <a:rPr lang="en-US"/>
            <a:t> Aggregate revenue by city and rank the top five contributors.</a:t>
          </a:r>
          <a:br>
            <a:rPr lang="en-US"/>
          </a:br>
          <a:r>
            <a:rPr lang="en-US" b="1"/>
            <a:t>Expected Business Insights:</a:t>
          </a:r>
          <a:endParaRPr lang="en-US"/>
        </a:p>
        <a:p>
          <a:r>
            <a:rPr lang="en-US"/>
            <a:t>Identification of core revenue-generating cities.</a:t>
          </a:r>
        </a:p>
        <a:p>
          <a:r>
            <a:rPr lang="en-US"/>
            <a:t>Support for city-level marketing campaigns and sales investments.</a:t>
          </a:r>
        </a:p>
        <a:p>
          <a:r>
            <a:rPr lang="en-US"/>
            <a:t>Strategic insights for geographic expansion or deeper market penetration.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184155</xdr:colOff>
      <xdr:row>2</xdr:row>
      <xdr:rowOff>31750</xdr:rowOff>
    </xdr:from>
    <xdr:to>
      <xdr:col>12</xdr:col>
      <xdr:colOff>57150</xdr:colOff>
      <xdr:row>19</xdr:row>
      <xdr:rowOff>19050</xdr:rowOff>
    </xdr:to>
    <xdr:graphicFrame macro="">
      <xdr:nvGraphicFramePr>
        <xdr:cNvPr id="2" name="Chart 1">
          <a:extLst>
            <a:ext uri="{FF2B5EF4-FFF2-40B4-BE49-F238E27FC236}">
              <a16:creationId xmlns:a16="http://schemas.microsoft.com/office/drawing/2014/main" id="{C4C873FE-2508-2EC1-D6A5-8B464177A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419105</xdr:colOff>
      <xdr:row>1</xdr:row>
      <xdr:rowOff>0</xdr:rowOff>
    </xdr:from>
    <xdr:to>
      <xdr:col>12</xdr:col>
      <xdr:colOff>292100</xdr:colOff>
      <xdr:row>18</xdr:row>
      <xdr:rowOff>76200</xdr:rowOff>
    </xdr:to>
    <xdr:graphicFrame macro="">
      <xdr:nvGraphicFramePr>
        <xdr:cNvPr id="2" name="Chart 1">
          <a:extLst>
            <a:ext uri="{FF2B5EF4-FFF2-40B4-BE49-F238E27FC236}">
              <a16:creationId xmlns:a16="http://schemas.microsoft.com/office/drawing/2014/main" id="{F9763911-802D-4FA5-B651-51D40BC2C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19056</xdr:colOff>
      <xdr:row>1</xdr:row>
      <xdr:rowOff>6350</xdr:rowOff>
    </xdr:from>
    <xdr:to>
      <xdr:col>10</xdr:col>
      <xdr:colOff>146050</xdr:colOff>
      <xdr:row>15</xdr:row>
      <xdr:rowOff>165100</xdr:rowOff>
    </xdr:to>
    <xdr:graphicFrame macro="">
      <xdr:nvGraphicFramePr>
        <xdr:cNvPr id="2" name="Chart 1">
          <a:extLst>
            <a:ext uri="{FF2B5EF4-FFF2-40B4-BE49-F238E27FC236}">
              <a16:creationId xmlns:a16="http://schemas.microsoft.com/office/drawing/2014/main" id="{BFCFBAF6-E10E-432B-A9D4-79B0610B6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381000</xdr:colOff>
      <xdr:row>1</xdr:row>
      <xdr:rowOff>0</xdr:rowOff>
    </xdr:from>
    <xdr:to>
      <xdr:col>8</xdr:col>
      <xdr:colOff>215900</xdr:colOff>
      <xdr:row>14</xdr:row>
      <xdr:rowOff>133350</xdr:rowOff>
    </xdr:to>
    <xdr:graphicFrame macro="">
      <xdr:nvGraphicFramePr>
        <xdr:cNvPr id="2" name="Chart 1">
          <a:extLst>
            <a:ext uri="{FF2B5EF4-FFF2-40B4-BE49-F238E27FC236}">
              <a16:creationId xmlns:a16="http://schemas.microsoft.com/office/drawing/2014/main" id="{F657C2B0-D076-4FD4-A3E0-549A1B61DC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419105</xdr:colOff>
      <xdr:row>1</xdr:row>
      <xdr:rowOff>88900</xdr:rowOff>
    </xdr:from>
    <xdr:to>
      <xdr:col>12</xdr:col>
      <xdr:colOff>292100</xdr:colOff>
      <xdr:row>18</xdr:row>
      <xdr:rowOff>76200</xdr:rowOff>
    </xdr:to>
    <xdr:graphicFrame macro="">
      <xdr:nvGraphicFramePr>
        <xdr:cNvPr id="2" name="Chart 1">
          <a:extLst>
            <a:ext uri="{FF2B5EF4-FFF2-40B4-BE49-F238E27FC236}">
              <a16:creationId xmlns:a16="http://schemas.microsoft.com/office/drawing/2014/main" id="{A36D597D-F322-44B4-B26B-DB6E6E626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431800</xdr:colOff>
      <xdr:row>3</xdr:row>
      <xdr:rowOff>66675</xdr:rowOff>
    </xdr:from>
    <xdr:to>
      <xdr:col>10</xdr:col>
      <xdr:colOff>127000</xdr:colOff>
      <xdr:row>18</xdr:row>
      <xdr:rowOff>47625</xdr:rowOff>
    </xdr:to>
    <xdr:graphicFrame macro="">
      <xdr:nvGraphicFramePr>
        <xdr:cNvPr id="3" name="Chart 2">
          <a:extLst>
            <a:ext uri="{FF2B5EF4-FFF2-40B4-BE49-F238E27FC236}">
              <a16:creationId xmlns:a16="http://schemas.microsoft.com/office/drawing/2014/main" id="{0ADA8522-C09A-50E1-F4DA-E9E5FCD876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180974</xdr:colOff>
      <xdr:row>1</xdr:row>
      <xdr:rowOff>168274</xdr:rowOff>
    </xdr:from>
    <xdr:to>
      <xdr:col>14</xdr:col>
      <xdr:colOff>50800</xdr:colOff>
      <xdr:row>17</xdr:row>
      <xdr:rowOff>177800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0A88DA80-B6A1-8407-CFE8-8A421D480B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16424" y="352424"/>
              <a:ext cx="5356226" cy="295592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5</xdr:col>
      <xdr:colOff>238125</xdr:colOff>
      <xdr:row>2</xdr:row>
      <xdr:rowOff>47625</xdr:rowOff>
    </xdr:from>
    <xdr:to>
      <xdr:col>12</xdr:col>
      <xdr:colOff>542925</xdr:colOff>
      <xdr:row>17</xdr:row>
      <xdr:rowOff>28575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5A8C2616-EF68-FA72-FF24-1E5D23D8C8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73575" y="415925"/>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2</xdr:col>
      <xdr:colOff>520700</xdr:colOff>
      <xdr:row>1</xdr:row>
      <xdr:rowOff>22224</xdr:rowOff>
    </xdr:from>
    <xdr:to>
      <xdr:col>9</xdr:col>
      <xdr:colOff>285750</xdr:colOff>
      <xdr:row>18</xdr:row>
      <xdr:rowOff>107950</xdr:rowOff>
    </xdr:to>
    <xdr:graphicFrame macro="">
      <xdr:nvGraphicFramePr>
        <xdr:cNvPr id="3" name="Chart 2">
          <a:extLst>
            <a:ext uri="{FF2B5EF4-FFF2-40B4-BE49-F238E27FC236}">
              <a16:creationId xmlns:a16="http://schemas.microsoft.com/office/drawing/2014/main" id="{59FDED5E-5188-5D5D-5E36-5238547D9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44450</xdr:rowOff>
    </xdr:from>
    <xdr:to>
      <xdr:col>29</xdr:col>
      <xdr:colOff>19050</xdr:colOff>
      <xdr:row>40</xdr:row>
      <xdr:rowOff>107950</xdr:rowOff>
    </xdr:to>
    <xdr:sp macro="" textlink="">
      <xdr:nvSpPr>
        <xdr:cNvPr id="2" name="Rectangle: Rounded Corners 1">
          <a:extLst>
            <a:ext uri="{FF2B5EF4-FFF2-40B4-BE49-F238E27FC236}">
              <a16:creationId xmlns:a16="http://schemas.microsoft.com/office/drawing/2014/main" id="{A0AA9047-283D-7C2C-657D-E75FDDFE1603}"/>
            </a:ext>
          </a:extLst>
        </xdr:cNvPr>
        <xdr:cNvSpPr/>
      </xdr:nvSpPr>
      <xdr:spPr>
        <a:xfrm>
          <a:off x="0" y="44450"/>
          <a:ext cx="17697450" cy="7429500"/>
        </a:xfrm>
        <a:prstGeom prst="roundRect">
          <a:avLst>
            <a:gd name="adj" fmla="val 4557"/>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133350</xdr:colOff>
      <xdr:row>1</xdr:row>
      <xdr:rowOff>82549</xdr:rowOff>
    </xdr:from>
    <xdr:to>
      <xdr:col>1</xdr:col>
      <xdr:colOff>533400</xdr:colOff>
      <xdr:row>39</xdr:row>
      <xdr:rowOff>39687</xdr:rowOff>
    </xdr:to>
    <xdr:sp macro="" textlink="">
      <xdr:nvSpPr>
        <xdr:cNvPr id="3" name="Rectangle: Rounded Corners 2">
          <a:extLst>
            <a:ext uri="{FF2B5EF4-FFF2-40B4-BE49-F238E27FC236}">
              <a16:creationId xmlns:a16="http://schemas.microsoft.com/office/drawing/2014/main" id="{920D81C4-5720-6F80-DED4-BB425BB70AAF}"/>
            </a:ext>
          </a:extLst>
        </xdr:cNvPr>
        <xdr:cNvSpPr/>
      </xdr:nvSpPr>
      <xdr:spPr>
        <a:xfrm>
          <a:off x="133350" y="265112"/>
          <a:ext cx="1011238" cy="6894513"/>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103186</xdr:colOff>
      <xdr:row>2</xdr:row>
      <xdr:rowOff>147639</xdr:rowOff>
    </xdr:from>
    <xdr:to>
      <xdr:col>4</xdr:col>
      <xdr:colOff>293686</xdr:colOff>
      <xdr:row>6</xdr:row>
      <xdr:rowOff>87315</xdr:rowOff>
    </xdr:to>
    <xdr:sp macro="" textlink="">
      <xdr:nvSpPr>
        <xdr:cNvPr id="4" name="Rectangle: Rounded Corners 3">
          <a:extLst>
            <a:ext uri="{FF2B5EF4-FFF2-40B4-BE49-F238E27FC236}">
              <a16:creationId xmlns:a16="http://schemas.microsoft.com/office/drawing/2014/main" id="{D9BBCA94-A240-27DD-DCF3-F53A40A57F0B}"/>
            </a:ext>
          </a:extLst>
        </xdr:cNvPr>
        <xdr:cNvSpPr/>
      </xdr:nvSpPr>
      <xdr:spPr>
        <a:xfrm>
          <a:off x="1325561" y="512764"/>
          <a:ext cx="1412875" cy="669926"/>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1585</xdr:colOff>
      <xdr:row>2</xdr:row>
      <xdr:rowOff>125414</xdr:rowOff>
    </xdr:from>
    <xdr:to>
      <xdr:col>7</xdr:col>
      <xdr:colOff>192085</xdr:colOff>
      <xdr:row>6</xdr:row>
      <xdr:rowOff>65090</xdr:rowOff>
    </xdr:to>
    <xdr:sp macro="" textlink="">
      <xdr:nvSpPr>
        <xdr:cNvPr id="5" name="Rectangle: Rounded Corners 4">
          <a:extLst>
            <a:ext uri="{FF2B5EF4-FFF2-40B4-BE49-F238E27FC236}">
              <a16:creationId xmlns:a16="http://schemas.microsoft.com/office/drawing/2014/main" id="{C5B932BF-E1F4-124A-6B8F-525FAB25EC5F}"/>
            </a:ext>
          </a:extLst>
        </xdr:cNvPr>
        <xdr:cNvSpPr/>
      </xdr:nvSpPr>
      <xdr:spPr>
        <a:xfrm>
          <a:off x="3057523" y="490539"/>
          <a:ext cx="1412875" cy="669926"/>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590547</xdr:colOff>
      <xdr:row>2</xdr:row>
      <xdr:rowOff>127003</xdr:rowOff>
    </xdr:from>
    <xdr:to>
      <xdr:col>10</xdr:col>
      <xdr:colOff>169860</xdr:colOff>
      <xdr:row>6</xdr:row>
      <xdr:rowOff>66679</xdr:rowOff>
    </xdr:to>
    <xdr:sp macro="" textlink="">
      <xdr:nvSpPr>
        <xdr:cNvPr id="6" name="Rectangle: Rounded Corners 5">
          <a:extLst>
            <a:ext uri="{FF2B5EF4-FFF2-40B4-BE49-F238E27FC236}">
              <a16:creationId xmlns:a16="http://schemas.microsoft.com/office/drawing/2014/main" id="{F4209280-F2FC-0A08-7AE3-7D61FCB59FC2}"/>
            </a:ext>
          </a:extLst>
        </xdr:cNvPr>
        <xdr:cNvSpPr/>
      </xdr:nvSpPr>
      <xdr:spPr>
        <a:xfrm>
          <a:off x="4868860" y="492128"/>
          <a:ext cx="1412875" cy="669926"/>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592134</xdr:colOff>
      <xdr:row>2</xdr:row>
      <xdr:rowOff>136529</xdr:rowOff>
    </xdr:from>
    <xdr:to>
      <xdr:col>13</xdr:col>
      <xdr:colOff>171446</xdr:colOff>
      <xdr:row>6</xdr:row>
      <xdr:rowOff>76205</xdr:rowOff>
    </xdr:to>
    <xdr:sp macro="" textlink="">
      <xdr:nvSpPr>
        <xdr:cNvPr id="7" name="Rectangle: Rounded Corners 6">
          <a:extLst>
            <a:ext uri="{FF2B5EF4-FFF2-40B4-BE49-F238E27FC236}">
              <a16:creationId xmlns:a16="http://schemas.microsoft.com/office/drawing/2014/main" id="{D21C5981-D426-CC37-EF9B-B38BC5E4F14D}"/>
            </a:ext>
          </a:extLst>
        </xdr:cNvPr>
        <xdr:cNvSpPr/>
      </xdr:nvSpPr>
      <xdr:spPr>
        <a:xfrm>
          <a:off x="6704009" y="501654"/>
          <a:ext cx="1412875" cy="669926"/>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554031</xdr:colOff>
      <xdr:row>2</xdr:row>
      <xdr:rowOff>138119</xdr:rowOff>
    </xdr:from>
    <xdr:to>
      <xdr:col>16</xdr:col>
      <xdr:colOff>133344</xdr:colOff>
      <xdr:row>6</xdr:row>
      <xdr:rowOff>77795</xdr:rowOff>
    </xdr:to>
    <xdr:sp macro="" textlink="">
      <xdr:nvSpPr>
        <xdr:cNvPr id="8" name="Rectangle: Rounded Corners 7">
          <a:extLst>
            <a:ext uri="{FF2B5EF4-FFF2-40B4-BE49-F238E27FC236}">
              <a16:creationId xmlns:a16="http://schemas.microsoft.com/office/drawing/2014/main" id="{1124038E-06ED-327E-89B5-895292A77300}"/>
            </a:ext>
          </a:extLst>
        </xdr:cNvPr>
        <xdr:cNvSpPr/>
      </xdr:nvSpPr>
      <xdr:spPr>
        <a:xfrm>
          <a:off x="8499469" y="503244"/>
          <a:ext cx="1412875" cy="669926"/>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269870</xdr:colOff>
      <xdr:row>2</xdr:row>
      <xdr:rowOff>139705</xdr:rowOff>
    </xdr:from>
    <xdr:to>
      <xdr:col>18</xdr:col>
      <xdr:colOff>460370</xdr:colOff>
      <xdr:row>3</xdr:row>
      <xdr:rowOff>158749</xdr:rowOff>
    </xdr:to>
    <xdr:sp macro="" textlink="">
      <xdr:nvSpPr>
        <xdr:cNvPr id="9" name="Rectangle: Rounded Corners 8">
          <a:extLst>
            <a:ext uri="{FF2B5EF4-FFF2-40B4-BE49-F238E27FC236}">
              <a16:creationId xmlns:a16="http://schemas.microsoft.com/office/drawing/2014/main" id="{1B71D967-EEEE-C7E9-1D22-AC161FC01E0F}"/>
            </a:ext>
          </a:extLst>
        </xdr:cNvPr>
        <xdr:cNvSpPr/>
      </xdr:nvSpPr>
      <xdr:spPr>
        <a:xfrm>
          <a:off x="10048870" y="504830"/>
          <a:ext cx="1412875" cy="201607"/>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596895</xdr:colOff>
      <xdr:row>2</xdr:row>
      <xdr:rowOff>149232</xdr:rowOff>
    </xdr:from>
    <xdr:to>
      <xdr:col>21</xdr:col>
      <xdr:colOff>176207</xdr:colOff>
      <xdr:row>3</xdr:row>
      <xdr:rowOff>168276</xdr:rowOff>
    </xdr:to>
    <xdr:sp macro="" textlink="">
      <xdr:nvSpPr>
        <xdr:cNvPr id="10" name="Rectangle: Rounded Corners 9">
          <a:extLst>
            <a:ext uri="{FF2B5EF4-FFF2-40B4-BE49-F238E27FC236}">
              <a16:creationId xmlns:a16="http://schemas.microsoft.com/office/drawing/2014/main" id="{B3591BD9-576E-F26E-8653-8E0AD5886206}"/>
            </a:ext>
          </a:extLst>
        </xdr:cNvPr>
        <xdr:cNvSpPr/>
      </xdr:nvSpPr>
      <xdr:spPr>
        <a:xfrm>
          <a:off x="11598270" y="514357"/>
          <a:ext cx="1412875" cy="201607"/>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328606</xdr:colOff>
      <xdr:row>2</xdr:row>
      <xdr:rowOff>150819</xdr:rowOff>
    </xdr:from>
    <xdr:to>
      <xdr:col>23</xdr:col>
      <xdr:colOff>519106</xdr:colOff>
      <xdr:row>3</xdr:row>
      <xdr:rowOff>169863</xdr:rowOff>
    </xdr:to>
    <xdr:sp macro="" textlink="">
      <xdr:nvSpPr>
        <xdr:cNvPr id="11" name="Rectangle: Rounded Corners 10">
          <a:extLst>
            <a:ext uri="{FF2B5EF4-FFF2-40B4-BE49-F238E27FC236}">
              <a16:creationId xmlns:a16="http://schemas.microsoft.com/office/drawing/2014/main" id="{44BE761B-F4CE-5052-6193-9477E69F1584}"/>
            </a:ext>
          </a:extLst>
        </xdr:cNvPr>
        <xdr:cNvSpPr/>
      </xdr:nvSpPr>
      <xdr:spPr>
        <a:xfrm>
          <a:off x="13163544" y="515944"/>
          <a:ext cx="1412875" cy="201607"/>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287331</xdr:colOff>
      <xdr:row>5</xdr:row>
      <xdr:rowOff>46042</xdr:rowOff>
    </xdr:from>
    <xdr:to>
      <xdr:col>18</xdr:col>
      <xdr:colOff>477831</xdr:colOff>
      <xdr:row>6</xdr:row>
      <xdr:rowOff>65087</xdr:rowOff>
    </xdr:to>
    <xdr:sp macro="" textlink="">
      <xdr:nvSpPr>
        <xdr:cNvPr id="12" name="Rectangle: Rounded Corners 11">
          <a:extLst>
            <a:ext uri="{FF2B5EF4-FFF2-40B4-BE49-F238E27FC236}">
              <a16:creationId xmlns:a16="http://schemas.microsoft.com/office/drawing/2014/main" id="{FE8E53EB-0963-F3E4-E555-8D69C29CF0E8}"/>
            </a:ext>
          </a:extLst>
        </xdr:cNvPr>
        <xdr:cNvSpPr/>
      </xdr:nvSpPr>
      <xdr:spPr>
        <a:xfrm>
          <a:off x="10066331" y="958855"/>
          <a:ext cx="1412875" cy="201607"/>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11107</xdr:colOff>
      <xdr:row>5</xdr:row>
      <xdr:rowOff>31754</xdr:rowOff>
    </xdr:from>
    <xdr:to>
      <xdr:col>21</xdr:col>
      <xdr:colOff>201607</xdr:colOff>
      <xdr:row>6</xdr:row>
      <xdr:rowOff>50799</xdr:rowOff>
    </xdr:to>
    <xdr:sp macro="" textlink="">
      <xdr:nvSpPr>
        <xdr:cNvPr id="13" name="Rectangle: Rounded Corners 12">
          <a:extLst>
            <a:ext uri="{FF2B5EF4-FFF2-40B4-BE49-F238E27FC236}">
              <a16:creationId xmlns:a16="http://schemas.microsoft.com/office/drawing/2014/main" id="{EF91AEDE-F456-E5B1-69AD-3CBE8BB63E6A}"/>
            </a:ext>
          </a:extLst>
        </xdr:cNvPr>
        <xdr:cNvSpPr/>
      </xdr:nvSpPr>
      <xdr:spPr>
        <a:xfrm>
          <a:off x="11623670" y="944567"/>
          <a:ext cx="1412875" cy="201607"/>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346069</xdr:colOff>
      <xdr:row>5</xdr:row>
      <xdr:rowOff>33343</xdr:rowOff>
    </xdr:from>
    <xdr:to>
      <xdr:col>23</xdr:col>
      <xdr:colOff>536569</xdr:colOff>
      <xdr:row>6</xdr:row>
      <xdr:rowOff>52388</xdr:rowOff>
    </xdr:to>
    <xdr:sp macro="" textlink="">
      <xdr:nvSpPr>
        <xdr:cNvPr id="14" name="Rectangle: Rounded Corners 13">
          <a:extLst>
            <a:ext uri="{FF2B5EF4-FFF2-40B4-BE49-F238E27FC236}">
              <a16:creationId xmlns:a16="http://schemas.microsoft.com/office/drawing/2014/main" id="{069912BE-1E85-1054-FF7A-8632CC9D0D51}"/>
            </a:ext>
          </a:extLst>
        </xdr:cNvPr>
        <xdr:cNvSpPr/>
      </xdr:nvSpPr>
      <xdr:spPr>
        <a:xfrm>
          <a:off x="13181007" y="946156"/>
          <a:ext cx="1412875" cy="201607"/>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104774</xdr:colOff>
      <xdr:row>1</xdr:row>
      <xdr:rowOff>79375</xdr:rowOff>
    </xdr:from>
    <xdr:to>
      <xdr:col>10</xdr:col>
      <xdr:colOff>396875</xdr:colOff>
      <xdr:row>2</xdr:row>
      <xdr:rowOff>63501</xdr:rowOff>
    </xdr:to>
    <xdr:sp macro="" textlink="">
      <xdr:nvSpPr>
        <xdr:cNvPr id="15" name="Rectangle: Rounded Corners 14">
          <a:extLst>
            <a:ext uri="{FF2B5EF4-FFF2-40B4-BE49-F238E27FC236}">
              <a16:creationId xmlns:a16="http://schemas.microsoft.com/office/drawing/2014/main" id="{FCF712FA-75F5-EBD5-2D53-15222AA53ADE}"/>
            </a:ext>
          </a:extLst>
        </xdr:cNvPr>
        <xdr:cNvSpPr/>
      </xdr:nvSpPr>
      <xdr:spPr>
        <a:xfrm>
          <a:off x="1327149" y="261938"/>
          <a:ext cx="5181601" cy="166688"/>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112710</xdr:colOff>
      <xdr:row>7</xdr:row>
      <xdr:rowOff>180974</xdr:rowOff>
    </xdr:from>
    <xdr:to>
      <xdr:col>6</xdr:col>
      <xdr:colOff>515937</xdr:colOff>
      <xdr:row>17</xdr:row>
      <xdr:rowOff>166687</xdr:rowOff>
    </xdr:to>
    <xdr:sp macro="" textlink="">
      <xdr:nvSpPr>
        <xdr:cNvPr id="16" name="Rectangle: Rounded Corners 15">
          <a:extLst>
            <a:ext uri="{FF2B5EF4-FFF2-40B4-BE49-F238E27FC236}">
              <a16:creationId xmlns:a16="http://schemas.microsoft.com/office/drawing/2014/main" id="{8F62E8BD-C3A8-C0B5-673A-4C449CE6B3EA}"/>
            </a:ext>
          </a:extLst>
        </xdr:cNvPr>
        <xdr:cNvSpPr/>
      </xdr:nvSpPr>
      <xdr:spPr>
        <a:xfrm>
          <a:off x="1335085" y="1458912"/>
          <a:ext cx="2847977" cy="1811338"/>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606422</xdr:colOff>
      <xdr:row>7</xdr:row>
      <xdr:rowOff>182561</xdr:rowOff>
    </xdr:from>
    <xdr:to>
      <xdr:col>11</xdr:col>
      <xdr:colOff>398461</xdr:colOff>
      <xdr:row>17</xdr:row>
      <xdr:rowOff>166687</xdr:rowOff>
    </xdr:to>
    <xdr:sp macro="" textlink="">
      <xdr:nvSpPr>
        <xdr:cNvPr id="17" name="Rectangle: Rounded Corners 16">
          <a:extLst>
            <a:ext uri="{FF2B5EF4-FFF2-40B4-BE49-F238E27FC236}">
              <a16:creationId xmlns:a16="http://schemas.microsoft.com/office/drawing/2014/main" id="{4C9D0B24-58E4-E84F-4553-59CD7E9EA618}"/>
            </a:ext>
          </a:extLst>
        </xdr:cNvPr>
        <xdr:cNvSpPr/>
      </xdr:nvSpPr>
      <xdr:spPr>
        <a:xfrm>
          <a:off x="4273547" y="1460499"/>
          <a:ext cx="2847977" cy="1809751"/>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465134</xdr:colOff>
      <xdr:row>8</xdr:row>
      <xdr:rowOff>0</xdr:rowOff>
    </xdr:from>
    <xdr:to>
      <xdr:col>24</xdr:col>
      <xdr:colOff>15875</xdr:colOff>
      <xdr:row>18</xdr:row>
      <xdr:rowOff>7939</xdr:rowOff>
    </xdr:to>
    <xdr:sp macro="" textlink="">
      <xdr:nvSpPr>
        <xdr:cNvPr id="18" name="Rectangle: Rounded Corners 17">
          <a:extLst>
            <a:ext uri="{FF2B5EF4-FFF2-40B4-BE49-F238E27FC236}">
              <a16:creationId xmlns:a16="http://schemas.microsoft.com/office/drawing/2014/main" id="{EB32F54B-FE50-C7ED-ABAB-E9089752A96D}"/>
            </a:ext>
          </a:extLst>
        </xdr:cNvPr>
        <xdr:cNvSpPr/>
      </xdr:nvSpPr>
      <xdr:spPr>
        <a:xfrm>
          <a:off x="7188197" y="1460500"/>
          <a:ext cx="7496178" cy="1833564"/>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93660</xdr:colOff>
      <xdr:row>18</xdr:row>
      <xdr:rowOff>106361</xdr:rowOff>
    </xdr:from>
    <xdr:to>
      <xdr:col>10</xdr:col>
      <xdr:colOff>444501</xdr:colOff>
      <xdr:row>28</xdr:row>
      <xdr:rowOff>39687</xdr:rowOff>
    </xdr:to>
    <xdr:sp macro="" textlink="">
      <xdr:nvSpPr>
        <xdr:cNvPr id="19" name="Rectangle: Rounded Corners 18">
          <a:extLst>
            <a:ext uri="{FF2B5EF4-FFF2-40B4-BE49-F238E27FC236}">
              <a16:creationId xmlns:a16="http://schemas.microsoft.com/office/drawing/2014/main" id="{8DA26BDC-4ECF-6330-162D-29EA675F6AB5}"/>
            </a:ext>
          </a:extLst>
        </xdr:cNvPr>
        <xdr:cNvSpPr/>
      </xdr:nvSpPr>
      <xdr:spPr>
        <a:xfrm>
          <a:off x="1316035" y="3392486"/>
          <a:ext cx="5240341" cy="1758951"/>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512762</xdr:colOff>
      <xdr:row>18</xdr:row>
      <xdr:rowOff>103188</xdr:rowOff>
    </xdr:from>
    <xdr:to>
      <xdr:col>17</xdr:col>
      <xdr:colOff>333376</xdr:colOff>
      <xdr:row>28</xdr:row>
      <xdr:rowOff>39688</xdr:rowOff>
    </xdr:to>
    <xdr:sp macro="" textlink="">
      <xdr:nvSpPr>
        <xdr:cNvPr id="20" name="Rectangle: Rounded Corners 19">
          <a:extLst>
            <a:ext uri="{FF2B5EF4-FFF2-40B4-BE49-F238E27FC236}">
              <a16:creationId xmlns:a16="http://schemas.microsoft.com/office/drawing/2014/main" id="{3C5E94DD-4B6A-4FA9-FE93-5EE77D67E6CF}"/>
            </a:ext>
          </a:extLst>
        </xdr:cNvPr>
        <xdr:cNvSpPr/>
      </xdr:nvSpPr>
      <xdr:spPr>
        <a:xfrm>
          <a:off x="6624637" y="3389313"/>
          <a:ext cx="4098927" cy="1762125"/>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395286</xdr:colOff>
      <xdr:row>18</xdr:row>
      <xdr:rowOff>95250</xdr:rowOff>
    </xdr:from>
    <xdr:to>
      <xdr:col>24</xdr:col>
      <xdr:colOff>23813</xdr:colOff>
      <xdr:row>28</xdr:row>
      <xdr:rowOff>31750</xdr:rowOff>
    </xdr:to>
    <xdr:sp macro="" textlink="">
      <xdr:nvSpPr>
        <xdr:cNvPr id="22" name="Rectangle: Rounded Corners 21">
          <a:extLst>
            <a:ext uri="{FF2B5EF4-FFF2-40B4-BE49-F238E27FC236}">
              <a16:creationId xmlns:a16="http://schemas.microsoft.com/office/drawing/2014/main" id="{659507F8-454A-F798-50D4-8717F7CF6144}"/>
            </a:ext>
          </a:extLst>
        </xdr:cNvPr>
        <xdr:cNvSpPr/>
      </xdr:nvSpPr>
      <xdr:spPr>
        <a:xfrm>
          <a:off x="10785474" y="3381375"/>
          <a:ext cx="3906839" cy="1762125"/>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31747</xdr:colOff>
      <xdr:row>28</xdr:row>
      <xdr:rowOff>150814</xdr:rowOff>
    </xdr:from>
    <xdr:to>
      <xdr:col>14</xdr:col>
      <xdr:colOff>571501</xdr:colOff>
      <xdr:row>39</xdr:row>
      <xdr:rowOff>39688</xdr:rowOff>
    </xdr:to>
    <xdr:sp macro="" textlink="">
      <xdr:nvSpPr>
        <xdr:cNvPr id="23" name="Rectangle: Rounded Corners 22">
          <a:extLst>
            <a:ext uri="{FF2B5EF4-FFF2-40B4-BE49-F238E27FC236}">
              <a16:creationId xmlns:a16="http://schemas.microsoft.com/office/drawing/2014/main" id="{714B9BC8-4AF0-BE04-145C-F120A07DF5E8}"/>
            </a:ext>
          </a:extLst>
        </xdr:cNvPr>
        <xdr:cNvSpPr/>
      </xdr:nvSpPr>
      <xdr:spPr>
        <a:xfrm>
          <a:off x="1254122" y="5262564"/>
          <a:ext cx="7874004" cy="1897062"/>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30161</xdr:colOff>
      <xdr:row>28</xdr:row>
      <xdr:rowOff>158751</xdr:rowOff>
    </xdr:from>
    <xdr:to>
      <xdr:col>24</xdr:col>
      <xdr:colOff>15876</xdr:colOff>
      <xdr:row>39</xdr:row>
      <xdr:rowOff>55563</xdr:rowOff>
    </xdr:to>
    <xdr:sp macro="" textlink="">
      <xdr:nvSpPr>
        <xdr:cNvPr id="24" name="Rectangle: Rounded Corners 23">
          <a:extLst>
            <a:ext uri="{FF2B5EF4-FFF2-40B4-BE49-F238E27FC236}">
              <a16:creationId xmlns:a16="http://schemas.microsoft.com/office/drawing/2014/main" id="{7030F5A5-3556-7802-31A3-B834EEE383B7}"/>
            </a:ext>
          </a:extLst>
        </xdr:cNvPr>
        <xdr:cNvSpPr/>
      </xdr:nvSpPr>
      <xdr:spPr>
        <a:xfrm>
          <a:off x="9197974" y="5270501"/>
          <a:ext cx="5486402" cy="1905000"/>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165100</xdr:colOff>
      <xdr:row>9</xdr:row>
      <xdr:rowOff>31751</xdr:rowOff>
    </xdr:from>
    <xdr:to>
      <xdr:col>8</xdr:col>
      <xdr:colOff>558800</xdr:colOff>
      <xdr:row>50</xdr:row>
      <xdr:rowOff>165100</xdr:rowOff>
    </xdr:to>
    <xdr:sp macro="" textlink="">
      <xdr:nvSpPr>
        <xdr:cNvPr id="2" name="Rectangle: Rounded Corners 1">
          <a:extLst>
            <a:ext uri="{FF2B5EF4-FFF2-40B4-BE49-F238E27FC236}">
              <a16:creationId xmlns:a16="http://schemas.microsoft.com/office/drawing/2014/main" id="{A25B3B95-C586-4533-8033-DC1810F5CAB1}"/>
            </a:ext>
          </a:extLst>
        </xdr:cNvPr>
        <xdr:cNvSpPr/>
      </xdr:nvSpPr>
      <xdr:spPr>
        <a:xfrm>
          <a:off x="165100" y="1689101"/>
          <a:ext cx="5270500" cy="7683499"/>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t>IN-ANALYSIS OBSERVATIONS</a:t>
          </a:r>
        </a:p>
        <a:p>
          <a:pPr algn="l"/>
          <a:r>
            <a:rPr lang="en-US" sz="1100" b="1" baseline="0"/>
            <a:t>1. Sales Trend Report</a:t>
          </a:r>
        </a:p>
        <a:p>
          <a:pPr algn="l"/>
          <a:r>
            <a:rPr lang="en-US" sz="1100" b="0" baseline="0"/>
            <a:t>- December has the highest sale increase of $66,642.78</a:t>
          </a:r>
        </a:p>
        <a:p>
          <a:pPr algn="l"/>
          <a:r>
            <a:rPr lang="en-US" sz="1100" b="0" baseline="0"/>
            <a:t>- February have the least sales of $19,985.50 for the year 2014</a:t>
          </a:r>
        </a:p>
        <a:p>
          <a:pPr algn="l"/>
          <a:r>
            <a:rPr lang="en-US" sz="1100" b="1" baseline="0"/>
            <a:t>2. Top 10 Customers</a:t>
          </a:r>
        </a:p>
        <a:p>
          <a:pPr algn="l"/>
          <a:r>
            <a:rPr lang="en-US" sz="1100" b="0" baseline="0"/>
            <a:t>- Company D has the highest number of revenue of $67,180.50</a:t>
          </a:r>
        </a:p>
        <a:p>
          <a:pPr algn="l"/>
          <a:r>
            <a:rPr lang="en-US" sz="1100" b="0" baseline="0"/>
            <a:t>- Company K is the 10th customer on the list at $21,937.08 for the year 2014</a:t>
          </a:r>
        </a:p>
        <a:p>
          <a:pPr algn="l"/>
          <a:r>
            <a:rPr lang="en-US" sz="1100" b="1" baseline="0"/>
            <a:t>3. Sales by Rep</a:t>
          </a:r>
        </a:p>
        <a:p>
          <a:pPr algn="l"/>
          <a:r>
            <a:rPr lang="en-US" sz="1100" b="0" baseline="0"/>
            <a:t>- Nancy Freehafer has the largest sales of $104,252.34</a:t>
          </a:r>
        </a:p>
        <a:p>
          <a:pPr algn="l"/>
          <a:r>
            <a:rPr lang="en-US" sz="1100" b="0" baseline="0"/>
            <a:t>- Jan Kotas has the lowest sales input of $16,350.50</a:t>
          </a:r>
        </a:p>
        <a:p>
          <a:pPr algn="l"/>
          <a:r>
            <a:rPr lang="en-US" sz="1100" b="1" baseline="0"/>
            <a:t>4. Sales by Region</a:t>
          </a:r>
        </a:p>
        <a:p>
          <a:pPr algn="l"/>
          <a:r>
            <a:rPr lang="en-US" sz="1100" b="0" baseline="0"/>
            <a:t>- North has the highest sales input of $141,680.34</a:t>
          </a:r>
        </a:p>
        <a:p>
          <a:pPr algn="l"/>
          <a:r>
            <a:rPr lang="en-US" sz="1100" b="0" baseline="0"/>
            <a:t>- West has the lowest sales input of $91,251.98 for the year 2014</a:t>
          </a:r>
        </a:p>
        <a:p>
          <a:pPr algn="l"/>
          <a:r>
            <a:rPr lang="en-US" sz="1100" b="1" baseline="0"/>
            <a:t>5. Sale by Product Categories</a:t>
          </a:r>
        </a:p>
        <a:p>
          <a:pPr algn="l"/>
          <a:r>
            <a:rPr lang="en-US" sz="1100" b="0" baseline="0"/>
            <a:t>- Beverages has the highest sales input of $110,577.11 of the year 2014</a:t>
          </a:r>
        </a:p>
        <a:p>
          <a:pPr algn="l"/>
          <a:r>
            <a:rPr lang="en-US" sz="1100" b="0" baseline="0"/>
            <a:t>- </a:t>
          </a:r>
          <a:r>
            <a:rPr lang="en-US" sz="1100" b="0" baseline="0">
              <a:solidFill>
                <a:schemeClr val="lt1"/>
              </a:solidFill>
              <a:effectLst/>
              <a:latin typeface="+mn-lt"/>
              <a:ea typeface="+mn-ea"/>
              <a:cs typeface="+mn-cs"/>
            </a:rPr>
            <a:t>Shipping fee</a:t>
          </a:r>
          <a:r>
            <a:rPr lang="en-US" sz="1100" b="0" baseline="0"/>
            <a:t> has the lowest sales input of $30.00 for the year 2014.</a:t>
          </a:r>
        </a:p>
        <a:p>
          <a:r>
            <a:rPr lang="en-US" sz="1100" b="1" baseline="0">
              <a:solidFill>
                <a:schemeClr val="lt1"/>
              </a:solidFill>
              <a:effectLst/>
              <a:latin typeface="+mn-lt"/>
              <a:ea typeface="+mn-ea"/>
              <a:cs typeface="+mn-cs"/>
            </a:rPr>
            <a:t>6. Top 5 Cities by Revenue</a:t>
          </a:r>
          <a:endParaRPr lang="en-US">
            <a:effectLst/>
          </a:endParaRPr>
        </a:p>
        <a:p>
          <a:r>
            <a:rPr lang="en-US" sz="1100" b="0" baseline="0">
              <a:solidFill>
                <a:schemeClr val="lt1"/>
              </a:solidFill>
              <a:effectLst/>
              <a:latin typeface="+mn-lt"/>
              <a:ea typeface="+mn-ea"/>
              <a:cs typeface="+mn-cs"/>
            </a:rPr>
            <a:t>- New York city has the highest revenue of $67,180.50 among the top 5 cities</a:t>
          </a:r>
          <a:endParaRPr lang="en-US">
            <a:effectLst/>
          </a:endParaRPr>
        </a:p>
        <a:p>
          <a:r>
            <a:rPr lang="en-US" sz="1100" b="0" baseline="0">
              <a:solidFill>
                <a:schemeClr val="lt1"/>
              </a:solidFill>
              <a:effectLst/>
              <a:latin typeface="+mn-lt"/>
              <a:ea typeface="+mn-ea"/>
              <a:cs typeface="+mn-cs"/>
            </a:rPr>
            <a:t>- Chicago is the 5th city that gave a high revenue of $41, 095.01 in the year 2014</a:t>
          </a:r>
        </a:p>
        <a:p>
          <a:r>
            <a:rPr lang="en-US" sz="1100" b="1" baseline="0">
              <a:solidFill>
                <a:schemeClr val="lt1"/>
              </a:solidFill>
              <a:effectLst/>
              <a:latin typeface="+mn-lt"/>
              <a:ea typeface="+mn-ea"/>
              <a:cs typeface="+mn-cs"/>
            </a:rPr>
            <a:t>7. Top 6 Ship Cities by Revenue</a:t>
          </a:r>
          <a:endParaRPr lang="en-US">
            <a:effectLst/>
          </a:endParaRPr>
        </a:p>
        <a:p>
          <a:r>
            <a:rPr lang="en-US" sz="1100" b="0" baseline="0">
              <a:solidFill>
                <a:schemeClr val="lt1"/>
              </a:solidFill>
              <a:effectLst/>
              <a:latin typeface="+mn-lt"/>
              <a:ea typeface="+mn-ea"/>
              <a:cs typeface="+mn-cs"/>
            </a:rPr>
            <a:t>- New York has the highest revenue of $67,180.50 for the year 2014</a:t>
          </a:r>
          <a:endParaRPr lang="en-US">
            <a:effectLst/>
          </a:endParaRPr>
        </a:p>
        <a:p>
          <a:r>
            <a:rPr lang="en-US" sz="1100" b="0" baseline="0">
              <a:solidFill>
                <a:schemeClr val="lt1"/>
              </a:solidFill>
              <a:effectLst/>
              <a:latin typeface="+mn-lt"/>
              <a:ea typeface="+mn-ea"/>
              <a:cs typeface="+mn-cs"/>
            </a:rPr>
            <a:t>- Milwaukee is the 6th ship city in the top 6 cities with the highest revenue of $37,428.00</a:t>
          </a:r>
          <a:endParaRPr lang="en-US">
            <a:effectLst/>
          </a:endParaRPr>
        </a:p>
        <a:p>
          <a:r>
            <a:rPr lang="en-US" sz="1100" b="1" baseline="0">
              <a:solidFill>
                <a:schemeClr val="lt1"/>
              </a:solidFill>
              <a:effectLst/>
              <a:latin typeface="+mn-lt"/>
              <a:ea typeface="+mn-ea"/>
              <a:cs typeface="+mn-cs"/>
            </a:rPr>
            <a:t>8. State performance</a:t>
          </a:r>
          <a:endParaRPr lang="en-US">
            <a:effectLst/>
          </a:endParaRPr>
        </a:p>
        <a:p>
          <a:r>
            <a:rPr lang="en-US" sz="1100" b="0" baseline="0">
              <a:solidFill>
                <a:schemeClr val="lt1"/>
              </a:solidFill>
              <a:effectLst/>
              <a:latin typeface="+mn-lt"/>
              <a:ea typeface="+mn-ea"/>
              <a:cs typeface="+mn-cs"/>
            </a:rPr>
            <a:t>- NY has the highest revenue performance of $67,180.50 </a:t>
          </a:r>
          <a:endParaRPr lang="en-US">
            <a:effectLst/>
          </a:endParaRPr>
        </a:p>
        <a:p>
          <a:r>
            <a:rPr lang="en-US" sz="1100" b="0" baseline="0">
              <a:solidFill>
                <a:schemeClr val="lt1"/>
              </a:solidFill>
              <a:effectLst/>
              <a:latin typeface="+mn-lt"/>
              <a:ea typeface="+mn-ea"/>
              <a:cs typeface="+mn-cs"/>
            </a:rPr>
            <a:t>- NV has the lowest revenue performance of $15,365.00 in the year 2014</a:t>
          </a:r>
        </a:p>
        <a:p>
          <a:r>
            <a:rPr lang="en-US" sz="1100" b="1" baseline="0">
              <a:solidFill>
                <a:schemeClr val="lt1"/>
              </a:solidFill>
              <a:effectLst/>
              <a:latin typeface="+mn-lt"/>
              <a:ea typeface="+mn-ea"/>
              <a:cs typeface="+mn-cs"/>
            </a:rPr>
            <a:t>9. Transaction by Amount</a:t>
          </a:r>
        </a:p>
        <a:p>
          <a:r>
            <a:rPr lang="en-US" sz="1100" b="0" baseline="0">
              <a:solidFill>
                <a:schemeClr val="lt1"/>
              </a:solidFill>
              <a:effectLst/>
              <a:latin typeface="+mn-lt"/>
              <a:ea typeface="+mn-ea"/>
              <a:cs typeface="+mn-cs"/>
            </a:rPr>
            <a:t>- </a:t>
          </a:r>
          <a:r>
            <a:rPr lang="en-US"/>
            <a:t>The lowest transaction amount range of 0 -1000 records the highest number of transactions at </a:t>
          </a:r>
          <a:r>
            <a:rPr lang="en-US" b="1"/>
            <a:t>218</a:t>
          </a:r>
          <a:r>
            <a:rPr lang="en-US"/>
            <a:t>, significantly exceeding all other ranges.</a:t>
          </a:r>
        </a:p>
        <a:p>
          <a:pPr marL="0" marR="0" lvl="0" indent="0" defTabSz="914400" eaLnBrk="1" fontAlgn="auto" latinLnBrk="0" hangingPunct="1">
            <a:lnSpc>
              <a:spcPct val="100000"/>
            </a:lnSpc>
            <a:spcBef>
              <a:spcPts val="0"/>
            </a:spcBef>
            <a:spcAft>
              <a:spcPts val="0"/>
            </a:spcAft>
            <a:buClrTx/>
            <a:buSzTx/>
            <a:buFontTx/>
            <a:buNone/>
            <a:tabLst/>
            <a:defRPr/>
          </a:pPr>
          <a:r>
            <a:rPr lang="en-US" sz="1100" b="0" baseline="0"/>
            <a:t>- </a:t>
          </a:r>
          <a:r>
            <a:rPr lang="en-US"/>
            <a:t>Transaction counts drop steeply as transaction amounts increase, with only </a:t>
          </a:r>
          <a:r>
            <a:rPr lang="en-US" b="1"/>
            <a:t>85</a:t>
          </a:r>
          <a:r>
            <a:rPr lang="en-US"/>
            <a:t> transactions in the second range and fewer than </a:t>
          </a:r>
          <a:r>
            <a:rPr lang="en-US" b="1"/>
            <a:t>40</a:t>
          </a:r>
          <a:r>
            <a:rPr lang="en-US"/>
            <a:t> transactions across most higher-value ranges.</a:t>
          </a:r>
        </a:p>
        <a:p>
          <a:pPr marL="0" marR="0" lvl="0" indent="0" defTabSz="914400" eaLnBrk="1" fontAlgn="auto" latinLnBrk="0" hangingPunct="1">
            <a:lnSpc>
              <a:spcPct val="100000"/>
            </a:lnSpc>
            <a:spcBef>
              <a:spcPts val="0"/>
            </a:spcBef>
            <a:spcAft>
              <a:spcPts val="0"/>
            </a:spcAft>
            <a:buClrTx/>
            <a:buSzTx/>
            <a:buFontTx/>
            <a:buNone/>
            <a:tabLst/>
            <a:defRPr/>
          </a:pPr>
          <a:r>
            <a:rPr lang="en-US"/>
            <a:t>- The highest transaction ranges show extremely low activity, with only </a:t>
          </a:r>
          <a:r>
            <a:rPr lang="en-US" b="1"/>
            <a:t>2 and 1 transactions</a:t>
          </a:r>
          <a:r>
            <a:rPr lang="en-US"/>
            <a:t>, indicating that very few customers make large purchases.</a:t>
          </a:r>
        </a:p>
        <a:p>
          <a:endParaRPr lang="en-US" sz="1100" b="0" baseline="0"/>
        </a:p>
      </xdr:txBody>
    </xdr:sp>
    <xdr:clientData/>
  </xdr:twoCellAnchor>
  <xdr:twoCellAnchor>
    <xdr:from>
      <xdr:col>9</xdr:col>
      <xdr:colOff>388937</xdr:colOff>
      <xdr:row>8</xdr:row>
      <xdr:rowOff>152401</xdr:rowOff>
    </xdr:from>
    <xdr:to>
      <xdr:col>18</xdr:col>
      <xdr:colOff>374650</xdr:colOff>
      <xdr:row>119</xdr:row>
      <xdr:rowOff>152400</xdr:rowOff>
    </xdr:to>
    <xdr:sp macro="" textlink="">
      <xdr:nvSpPr>
        <xdr:cNvPr id="3" name="Rectangle: Rounded Corners 2">
          <a:extLst>
            <a:ext uri="{FF2B5EF4-FFF2-40B4-BE49-F238E27FC236}">
              <a16:creationId xmlns:a16="http://schemas.microsoft.com/office/drawing/2014/main" id="{DB88B67A-A5EF-8410-393D-B92F3FAECF02}"/>
            </a:ext>
          </a:extLst>
        </xdr:cNvPr>
        <xdr:cNvSpPr/>
      </xdr:nvSpPr>
      <xdr:spPr>
        <a:xfrm>
          <a:off x="5875337" y="1625601"/>
          <a:ext cx="5472113" cy="20440649"/>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t>IN-ANALYSIS INSIGHTS</a:t>
          </a:r>
        </a:p>
        <a:p>
          <a:pPr algn="l"/>
          <a:r>
            <a:rPr lang="en-US" sz="1100" b="1" baseline="0"/>
            <a:t>1. Sales Trend Report</a:t>
          </a:r>
          <a:endParaRPr lang="en-US" sz="1100" b="1"/>
        </a:p>
        <a:p>
          <a:r>
            <a:rPr lang="en-US" sz="1100" b="1"/>
            <a:t>Key Insight Derived</a:t>
          </a:r>
          <a:br>
            <a:rPr lang="en-US" sz="1100"/>
          </a:br>
          <a:r>
            <a:rPr lang="en-US" sz="1100"/>
            <a:t>Sales performance shows clear seasonality, with February consistently underperforming.</a:t>
          </a:r>
        </a:p>
        <a:p>
          <a:r>
            <a:rPr lang="en-US" sz="1100" b="1"/>
            <a:t>Observed Insight</a:t>
          </a:r>
          <a:br>
            <a:rPr lang="en-US" sz="1100"/>
          </a:br>
          <a:r>
            <a:rPr lang="en-US" sz="1100"/>
            <a:t>February recorded the lowest sales turnover of $19,985.50 compared to other months, indicating a post-holiday slowdown in customer spending.</a:t>
          </a:r>
        </a:p>
        <a:p>
          <a:r>
            <a:rPr lang="en-US" sz="1100" b="1"/>
            <a:t>Actionable Recommendation</a:t>
          </a:r>
          <a:br>
            <a:rPr lang="en-US" sz="1100"/>
          </a:br>
          <a:r>
            <a:rPr lang="en-US" sz="1100"/>
            <a:t>Introduce targeted marketing campaigns, promotional discounts, and bundled offers during February to stimulate demand and stabilise monthly revenue.</a:t>
          </a:r>
        </a:p>
        <a:p>
          <a:endParaRPr lang="en-US" sz="1100"/>
        </a:p>
        <a:p>
          <a:r>
            <a:rPr lang="en-US" sz="1100" b="1"/>
            <a:t>2. Top Customers by Revenue</a:t>
          </a:r>
        </a:p>
        <a:p>
          <a:r>
            <a:rPr lang="en-US" sz="1100" b="1"/>
            <a:t>Key Insight Derived</a:t>
          </a:r>
          <a:br>
            <a:rPr lang="en-US" sz="1100"/>
          </a:br>
          <a:r>
            <a:rPr lang="en-US" sz="1100"/>
            <a:t>Revenue is highly concentrated among a small group of top customers.</a:t>
          </a:r>
        </a:p>
        <a:p>
          <a:r>
            <a:rPr lang="en-US" sz="1100" b="1"/>
            <a:t>Observed Insight</a:t>
          </a:r>
          <a:br>
            <a:rPr lang="en-US" sz="1100"/>
          </a:br>
          <a:r>
            <a:rPr lang="en-US" sz="1100"/>
            <a:t>Company D generated the highest revenue at </a:t>
          </a:r>
          <a:r>
            <a:rPr lang="en-US" sz="1100" b="1"/>
            <a:t>$67,180.50</a:t>
          </a:r>
          <a:r>
            <a:rPr lang="en-US" sz="1100"/>
            <a:t>, while the 10th-ranked customer, Company K, contributed significantly less at </a:t>
          </a:r>
          <a:r>
            <a:rPr lang="en-US" sz="1100" b="1"/>
            <a:t>$21,937.08</a:t>
          </a:r>
          <a:r>
            <a:rPr lang="en-US" sz="1100"/>
            <a:t>, showing a steep revenue drop across customer ranks.</a:t>
          </a:r>
        </a:p>
        <a:p>
          <a:r>
            <a:rPr lang="en-US" sz="1100" b="1"/>
            <a:t>Actionable Recommendation</a:t>
          </a:r>
          <a:br>
            <a:rPr lang="en-US" sz="1100"/>
          </a:br>
          <a:r>
            <a:rPr lang="en-US" sz="1100"/>
            <a:t>Strengthen retention strategies for high-value customers through loyalty programs and personalised offers, while developing upselling strategies for mid-tier customers to diversify revenue sources.</a:t>
          </a:r>
          <a:br>
            <a:rPr lang="en-US" sz="1100"/>
          </a:br>
          <a:endParaRPr lang="en-US" sz="1100"/>
        </a:p>
        <a:p>
          <a:r>
            <a:rPr lang="en-US" sz="1100" b="1"/>
            <a:t>3. Sales Performance by Sales Representative</a:t>
          </a:r>
        </a:p>
        <a:p>
          <a:r>
            <a:rPr lang="en-US" sz="1100" b="1"/>
            <a:t>Key Insight Derived</a:t>
          </a:r>
          <a:br>
            <a:rPr lang="en-US" sz="1100"/>
          </a:br>
          <a:r>
            <a:rPr lang="en-US" sz="1100"/>
            <a:t>Sales performance varies significantly across the sales team.</a:t>
          </a:r>
        </a:p>
        <a:p>
          <a:r>
            <a:rPr lang="en-US" sz="1100" b="1"/>
            <a:t>Observed Insight</a:t>
          </a:r>
          <a:br>
            <a:rPr lang="en-US" sz="1100"/>
          </a:br>
          <a:r>
            <a:rPr lang="en-US" sz="1100"/>
            <a:t>Nancy Freehafer emerged as the top-performing salesperson with </a:t>
          </a:r>
          <a:r>
            <a:rPr lang="en-US" sz="1100" b="1"/>
            <a:t>$104,252.34</a:t>
          </a:r>
          <a:r>
            <a:rPr lang="en-US" sz="1100"/>
            <a:t> in sales, while Jan Kotas recorded the lowest sales at </a:t>
          </a:r>
          <a:r>
            <a:rPr lang="en-US" sz="1100" b="1"/>
            <a:t>$16,350.50</a:t>
          </a:r>
          <a:r>
            <a:rPr lang="en-US" sz="1100"/>
            <a:t>.</a:t>
          </a:r>
        </a:p>
        <a:p>
          <a:r>
            <a:rPr lang="en-US" sz="1100" b="1"/>
            <a:t>Actionable Recommendation</a:t>
          </a:r>
          <a:br>
            <a:rPr lang="en-US" sz="1100"/>
          </a:br>
          <a:r>
            <a:rPr lang="en-US" sz="1100"/>
            <a:t>Leverage top-performer best practices for training and mentoring, while providing targeted coaching and support to underperforming sales representatives.</a:t>
          </a:r>
          <a:br>
            <a:rPr lang="en-US" sz="1100"/>
          </a:br>
          <a:endParaRPr lang="en-US" sz="1100"/>
        </a:p>
        <a:p>
          <a:r>
            <a:rPr lang="en-US" sz="1100" b="1"/>
            <a:t>4. Sales Performance by Region</a:t>
          </a:r>
        </a:p>
        <a:p>
          <a:r>
            <a:rPr lang="en-US" sz="1100" b="1"/>
            <a:t>Key Insight Derived</a:t>
          </a:r>
          <a:br>
            <a:rPr lang="en-US" sz="1100"/>
          </a:br>
          <a:r>
            <a:rPr lang="en-US" sz="1100"/>
            <a:t>Regional sales contributions are uneven.</a:t>
          </a:r>
        </a:p>
        <a:p>
          <a:r>
            <a:rPr lang="en-US" sz="1100" b="1"/>
            <a:t>Observed Insight</a:t>
          </a:r>
          <a:br>
            <a:rPr lang="en-US" sz="1100"/>
          </a:br>
          <a:r>
            <a:rPr lang="en-US" sz="1100"/>
            <a:t>The North region generated the highest revenue at </a:t>
          </a:r>
          <a:r>
            <a:rPr lang="en-US" sz="1100" b="1"/>
            <a:t>$141,680.34</a:t>
          </a:r>
          <a:r>
            <a:rPr lang="en-US" sz="1100"/>
            <a:t>, while the West region recorded the lowest at </a:t>
          </a:r>
          <a:r>
            <a:rPr lang="en-US" sz="1100" b="1"/>
            <a:t>$91,251.98</a:t>
          </a:r>
          <a:r>
            <a:rPr lang="en-US" sz="1100"/>
            <a:t>.</a:t>
          </a:r>
        </a:p>
        <a:p>
          <a:r>
            <a:rPr lang="en-US" sz="1100" b="1"/>
            <a:t>Actionable Recommendation</a:t>
          </a:r>
          <a:br>
            <a:rPr lang="en-US" sz="1100"/>
          </a:br>
          <a:r>
            <a:rPr lang="en-US" sz="1100"/>
            <a:t>Increase marketing and sales investment in underperforming regions while sustaining successful strategies in high-performing regions.</a:t>
          </a:r>
          <a:br>
            <a:rPr lang="en-US" sz="1100"/>
          </a:br>
          <a:endParaRPr lang="en-US" sz="1100"/>
        </a:p>
        <a:p>
          <a:r>
            <a:rPr lang="en-US" sz="1100" b="1"/>
            <a:t>5. Sales by Product Category</a:t>
          </a:r>
        </a:p>
        <a:p>
          <a:r>
            <a:rPr lang="en-US" sz="1100" b="1"/>
            <a:t>Key Insight Derived</a:t>
          </a:r>
          <a:br>
            <a:rPr lang="en-US" sz="1100"/>
          </a:br>
          <a:r>
            <a:rPr lang="en-US" sz="1100"/>
            <a:t>Revenue performance differs widely across product categories.</a:t>
          </a:r>
        </a:p>
        <a:p>
          <a:r>
            <a:rPr lang="en-US" sz="1100" b="1"/>
            <a:t>Observed Insight</a:t>
          </a:r>
          <a:br>
            <a:rPr lang="en-US" sz="1100"/>
          </a:br>
          <a:r>
            <a:rPr lang="en-US" sz="1100"/>
            <a:t>Beverages was the top-performing category with </a:t>
          </a:r>
          <a:r>
            <a:rPr lang="en-US" sz="1100" b="1"/>
            <a:t>$110,577.11</a:t>
          </a:r>
          <a:r>
            <a:rPr lang="en-US" sz="1100"/>
            <a:t> in revenue, while shipping fees contributed a negligible </a:t>
          </a:r>
          <a:r>
            <a:rPr lang="en-US" sz="1100" b="1"/>
            <a:t>$30.00</a:t>
          </a:r>
          <a:r>
            <a:rPr lang="en-US" sz="1100"/>
            <a:t>.</a:t>
          </a:r>
        </a:p>
        <a:p>
          <a:r>
            <a:rPr lang="en-US" sz="1100" b="1"/>
            <a:t>Actionable Recommendation</a:t>
          </a:r>
          <a:br>
            <a:rPr lang="en-US" sz="1100"/>
          </a:br>
          <a:r>
            <a:rPr lang="en-US" sz="1100"/>
            <a:t>Focus inventory planning and marketing efforts on high-performing categories while reassessing pricing or bundling strategies for low-contribution items.</a:t>
          </a:r>
          <a:br>
            <a:rPr lang="en-US" sz="1100"/>
          </a:br>
          <a:endParaRPr lang="en-US" sz="1100"/>
        </a:p>
        <a:p>
          <a:r>
            <a:rPr lang="en-US" sz="1100" b="1">
              <a:solidFill>
                <a:schemeClr val="lt1"/>
              </a:solidFill>
              <a:effectLst/>
              <a:latin typeface="+mn-lt"/>
              <a:ea typeface="+mn-ea"/>
              <a:cs typeface="+mn-cs"/>
            </a:rPr>
            <a:t>6. Top 5 Cities by Revenue</a:t>
          </a:r>
          <a:endParaRPr lang="en-US">
            <a:effectLst/>
          </a:endParaRPr>
        </a:p>
        <a:p>
          <a:r>
            <a:rPr lang="en-US" b="1"/>
            <a:t>Key Insight Derived</a:t>
          </a:r>
        </a:p>
        <a:p>
          <a:r>
            <a:rPr lang="en-US"/>
            <a:t>Major metropolitan areas are the primary drivers of revenue, with one city significantly outperforming the rest.</a:t>
          </a:r>
        </a:p>
        <a:p>
          <a:r>
            <a:rPr lang="en-US" b="1"/>
            <a:t>Observed Insight</a:t>
          </a:r>
        </a:p>
        <a:p>
          <a:r>
            <a:rPr lang="en-US"/>
            <a:t>New York City leads all cities with revenue of </a:t>
          </a:r>
          <a:r>
            <a:rPr lang="en-US" b="1"/>
            <a:t>$67,180.50</a:t>
          </a:r>
          <a:r>
            <a:rPr lang="en-US"/>
            <a:t>, followed by Portland (</a:t>
          </a:r>
          <a:r>
            <a:rPr lang="en-US" b="1"/>
            <a:t>$50,208.35</a:t>
          </a:r>
          <a:r>
            <a:rPr lang="en-US"/>
            <a:t>), Miami (</a:t>
          </a:r>
          <a:r>
            <a:rPr lang="en-US" b="1"/>
            <a:t>$50,145.33</a:t>
          </a:r>
          <a:r>
            <a:rPr lang="en-US"/>
            <a:t>), Memphis (</a:t>
          </a:r>
          <a:r>
            <a:rPr lang="en-US" b="1"/>
            <a:t>$43,713.00</a:t>
          </a:r>
          <a:r>
            <a:rPr lang="en-US"/>
            <a:t>), and Chicago (</a:t>
          </a:r>
          <a:r>
            <a:rPr lang="en-US" b="1"/>
            <a:t>$41,095.01</a:t>
          </a:r>
          <a:r>
            <a:rPr lang="en-US"/>
            <a:t>). A noticeable performance gap exists between New York City and the remaining cities.</a:t>
          </a:r>
        </a:p>
        <a:p>
          <a:r>
            <a:rPr lang="en-US" b="1"/>
            <a:t>Actionable Recommendation</a:t>
          </a:r>
        </a:p>
        <a:p>
          <a:r>
            <a:rPr lang="en-US"/>
            <a:t>Strengthen customer engagement and sales initiatives in New York City to maintain market leadership, while increasing targeted marketing efforts in Portland and Miami to accelerate growth. For Memphis and Chicago, introduce city-specific promotions and partnerships to lift performance and close the revenue gap.</a:t>
          </a:r>
        </a:p>
        <a:p>
          <a:endParaRPr lang="en-US" sz="1100"/>
        </a:p>
        <a:p>
          <a:r>
            <a:rPr lang="en-US" sz="1100" b="1">
              <a:solidFill>
                <a:schemeClr val="lt1"/>
              </a:solidFill>
              <a:effectLst/>
              <a:latin typeface="+mn-lt"/>
              <a:ea typeface="+mn-ea"/>
              <a:cs typeface="+mn-cs"/>
            </a:rPr>
            <a:t>7. Top 6 Shipping Cities by Revenue</a:t>
          </a:r>
          <a:endParaRPr lang="en-US">
            <a:effectLst/>
          </a:endParaRPr>
        </a:p>
        <a:p>
          <a:r>
            <a:rPr lang="en-US" sz="1100" b="1">
              <a:solidFill>
                <a:schemeClr val="lt1"/>
              </a:solidFill>
              <a:effectLst/>
              <a:latin typeface="+mn-lt"/>
              <a:ea typeface="+mn-ea"/>
              <a:cs typeface="+mn-cs"/>
            </a:rPr>
            <a:t>Key Insight Derived</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Shipping revenue is concentrated in a few key locations.</a:t>
          </a:r>
          <a:endParaRPr lang="en-US">
            <a:effectLst/>
          </a:endParaRPr>
        </a:p>
        <a:p>
          <a:r>
            <a:rPr lang="en-US" sz="1100" b="1">
              <a:solidFill>
                <a:schemeClr val="lt1"/>
              </a:solidFill>
              <a:effectLst/>
              <a:latin typeface="+mn-lt"/>
              <a:ea typeface="+mn-ea"/>
              <a:cs typeface="+mn-cs"/>
            </a:rPr>
            <a:t>Observed Insight</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New York generated the highest shipping-related revenue (</a:t>
          </a:r>
          <a:r>
            <a:rPr lang="en-US" sz="1100" b="1">
              <a:solidFill>
                <a:schemeClr val="lt1"/>
              </a:solidFill>
              <a:effectLst/>
              <a:latin typeface="+mn-lt"/>
              <a:ea typeface="+mn-ea"/>
              <a:cs typeface="+mn-cs"/>
            </a:rPr>
            <a:t>$67,180.50</a:t>
          </a:r>
          <a:r>
            <a:rPr lang="en-US" sz="1100">
              <a:solidFill>
                <a:schemeClr val="lt1"/>
              </a:solidFill>
              <a:effectLst/>
              <a:latin typeface="+mn-lt"/>
              <a:ea typeface="+mn-ea"/>
              <a:cs typeface="+mn-cs"/>
            </a:rPr>
            <a:t>), while Milwaukee ranked sixth with </a:t>
          </a:r>
          <a:r>
            <a:rPr lang="en-US" sz="1100" b="1">
              <a:solidFill>
                <a:schemeClr val="lt1"/>
              </a:solidFill>
              <a:effectLst/>
              <a:latin typeface="+mn-lt"/>
              <a:ea typeface="+mn-ea"/>
              <a:cs typeface="+mn-cs"/>
            </a:rPr>
            <a:t>$37,428.00</a:t>
          </a:r>
          <a:r>
            <a:rPr lang="en-US" sz="1100">
              <a:solidFill>
                <a:schemeClr val="lt1"/>
              </a:solidFill>
              <a:effectLst/>
              <a:latin typeface="+mn-lt"/>
              <a:ea typeface="+mn-ea"/>
              <a:cs typeface="+mn-cs"/>
            </a:rPr>
            <a:t>.</a:t>
          </a:r>
          <a:endParaRPr lang="en-US">
            <a:effectLst/>
          </a:endParaRPr>
        </a:p>
        <a:p>
          <a:r>
            <a:rPr lang="en-US" sz="1100" b="1">
              <a:solidFill>
                <a:schemeClr val="lt1"/>
              </a:solidFill>
              <a:effectLst/>
              <a:latin typeface="+mn-lt"/>
              <a:ea typeface="+mn-ea"/>
              <a:cs typeface="+mn-cs"/>
            </a:rPr>
            <a:t>Actionable Recommendation</a:t>
          </a:r>
          <a:br>
            <a:rPr lang="en-US" sz="1100">
              <a:solidFill>
                <a:schemeClr val="lt1"/>
              </a:solidFill>
              <a:effectLst/>
              <a:latin typeface="+mn-lt"/>
              <a:ea typeface="+mn-ea"/>
              <a:cs typeface="+mn-cs"/>
            </a:rPr>
          </a:br>
          <a:r>
            <a:rPr lang="en-US" sz="1100">
              <a:solidFill>
                <a:schemeClr val="lt1"/>
              </a:solidFill>
              <a:effectLst/>
              <a:latin typeface="+mn-lt"/>
              <a:ea typeface="+mn-ea"/>
              <a:cs typeface="+mn-cs"/>
            </a:rPr>
            <a:t>Optimise logistics and distribution strategies around high-performing shipping cities and explore growth opportunities in lower-performing locations.</a:t>
          </a:r>
          <a:endParaRPr lang="en-US">
            <a:effectLst/>
          </a:endParaRPr>
        </a:p>
        <a:p>
          <a:pPr algn="l"/>
          <a:endParaRPr lang="en-US" sz="1100"/>
        </a:p>
        <a:p>
          <a:r>
            <a:rPr lang="en-US" b="1"/>
            <a:t>8. State Performance</a:t>
          </a:r>
        </a:p>
        <a:p>
          <a:r>
            <a:rPr lang="en-US" b="1"/>
            <a:t>Key Insight Derived</a:t>
          </a:r>
        </a:p>
        <a:p>
          <a:r>
            <a:rPr lang="en-US"/>
            <a:t>Revenue generation is geographically concentrated, with a small number of states driving the majority of overall sales performance.</a:t>
          </a:r>
        </a:p>
        <a:p>
          <a:r>
            <a:rPr lang="en-US" b="1"/>
            <a:t>Observed Insight</a:t>
          </a:r>
        </a:p>
        <a:p>
          <a:r>
            <a:rPr lang="en-US"/>
            <a:t>New York State recorded the highest revenue at </a:t>
          </a:r>
          <a:r>
            <a:rPr lang="en-US" b="1"/>
            <a:t>$67,180.50</a:t>
          </a:r>
          <a:r>
            <a:rPr lang="en-US"/>
            <a:t>, significantly outperforming other states. Oregon (</a:t>
          </a:r>
          <a:r>
            <a:rPr lang="en-US" b="1"/>
            <a:t>$50,208.35</a:t>
          </a:r>
          <a:r>
            <a:rPr lang="en-US"/>
            <a:t>) and Florida (</a:t>
          </a:r>
          <a:r>
            <a:rPr lang="en-US" b="1"/>
            <a:t>~$43K</a:t>
          </a:r>
          <a:r>
            <a:rPr lang="en-US"/>
            <a:t>) also showed strong contributions. In contrast, several states generated as little as </a:t>
          </a:r>
          <a:r>
            <a:rPr lang="en-US" b="1"/>
            <a:t>$15,365.50</a:t>
          </a:r>
          <a:r>
            <a:rPr lang="en-US"/>
            <a:t>, indicating uneven market penetration across regions.</a:t>
          </a:r>
        </a:p>
        <a:p>
          <a:r>
            <a:rPr lang="en-US" b="1"/>
            <a:t>Actionable Recommendation</a:t>
          </a:r>
        </a:p>
        <a:p>
          <a:r>
            <a:rPr lang="en-US"/>
            <a:t>Prioritise sales and marketing investment in high-performing states such as New York, Oregon, and Florida to maximise short-term revenue growth. At the same time, develop targeted regional expansion strategies—such as local promotions and improved distribution—for underperforming states to reduce dependence on a few key markets and build broader national revenue coverage.</a:t>
          </a:r>
        </a:p>
        <a:p>
          <a:endParaRPr lang="en-US"/>
        </a:p>
        <a:p>
          <a:r>
            <a:rPr lang="en-US" b="1"/>
            <a:t>9. Transaction by Amount</a:t>
          </a:r>
        </a:p>
        <a:p>
          <a:r>
            <a:rPr lang="en-US" b="1"/>
            <a:t>Key Insight Derived</a:t>
          </a:r>
        </a:p>
        <a:p>
          <a:r>
            <a:rPr lang="en-US"/>
            <a:t>Customer purchasing behaviour is heavily skewed toward low-value transactions, with very limited participation in higher-value purchase ranges. This indicates that revenue is primarily volume-driven rather than driven by high-ticket sales.</a:t>
          </a:r>
        </a:p>
        <a:p>
          <a:r>
            <a:rPr lang="en-US" b="1"/>
            <a:t>Observed Insight</a:t>
          </a:r>
        </a:p>
        <a:p>
          <a:r>
            <a:rPr lang="en-US"/>
            <a:t>The lowest transaction range recorded the highest count at </a:t>
          </a:r>
          <a:r>
            <a:rPr lang="en-US" b="1"/>
            <a:t>218 transactions</a:t>
          </a:r>
          <a:r>
            <a:rPr lang="en-US"/>
            <a:t>, significantly outperforming all other ranges. The second range dropped sharply to </a:t>
          </a:r>
          <a:r>
            <a:rPr lang="en-US" b="1"/>
            <a:t>85 transactions</a:t>
          </a:r>
          <a:r>
            <a:rPr lang="en-US"/>
            <a:t>, while higher transaction ranges showed minimal activity, with only </a:t>
          </a:r>
          <a:r>
            <a:rPr lang="en-US" b="1"/>
            <a:t>31, 24, 8, 2, and 1 transactions</a:t>
          </a:r>
          <a:r>
            <a:rPr lang="en-US"/>
            <a:t> respectively. This steep decline highlights that as transaction value increases, customer participation decreases rapidly.</a:t>
          </a:r>
        </a:p>
        <a:p>
          <a:r>
            <a:rPr lang="en-US" b="1"/>
            <a:t>Actionable Recommendation</a:t>
          </a:r>
        </a:p>
        <a:p>
          <a:r>
            <a:rPr lang="en-US"/>
            <a:t>Introduce targeted strategies to increase average order value, such as product bundling, spend-threshold discounts (e.g., “Spend $X, get Y”), and personalised product recommendations at checkout. Additionally, ensure seamless digital payment processes to support high transaction volumes. These actions are expected to shift customers into higher transaction ranges, improving overall revenue without relying solely on increasing customer acquisition.</a:t>
          </a:r>
        </a:p>
        <a:p>
          <a:endParaRPr lang="en-US" b="0"/>
        </a:p>
        <a:p>
          <a:pPr algn="l"/>
          <a:endParaRPr lang="en-US" sz="1100"/>
        </a:p>
      </xdr:txBody>
    </xdr:sp>
    <xdr:clientData/>
  </xdr:twoCellAnchor>
  <xdr:twoCellAnchor>
    <xdr:from>
      <xdr:col>4</xdr:col>
      <xdr:colOff>488950</xdr:colOff>
      <xdr:row>3</xdr:row>
      <xdr:rowOff>107950</xdr:rowOff>
    </xdr:from>
    <xdr:to>
      <xdr:col>14</xdr:col>
      <xdr:colOff>101600</xdr:colOff>
      <xdr:row>7</xdr:row>
      <xdr:rowOff>31750</xdr:rowOff>
    </xdr:to>
    <xdr:sp macro="" textlink="">
      <xdr:nvSpPr>
        <xdr:cNvPr id="4" name="TextBox 3">
          <a:extLst>
            <a:ext uri="{FF2B5EF4-FFF2-40B4-BE49-F238E27FC236}">
              <a16:creationId xmlns:a16="http://schemas.microsoft.com/office/drawing/2014/main" id="{56792D98-AE38-83C4-00D1-70CE1337CB6C}"/>
            </a:ext>
          </a:extLst>
        </xdr:cNvPr>
        <xdr:cNvSpPr txBox="1"/>
      </xdr:nvSpPr>
      <xdr:spPr>
        <a:xfrm>
          <a:off x="2927350" y="660400"/>
          <a:ext cx="5708650" cy="66040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solidFill>
                <a:schemeClr val="bg1"/>
              </a:solidFill>
              <a:latin typeface="Amasi MT PRO"/>
            </a:rPr>
            <a:t>IN-ANALYSI</a:t>
          </a:r>
          <a:r>
            <a:rPr lang="en-US" sz="4000" baseline="0">
              <a:solidFill>
                <a:schemeClr val="bg1"/>
              </a:solidFill>
              <a:latin typeface="Amasi MT PRO"/>
            </a:rPr>
            <a:t>S BOARD</a:t>
          </a:r>
          <a:endParaRPr lang="en-US" sz="4000">
            <a:solidFill>
              <a:schemeClr val="bg1"/>
            </a:solidFill>
            <a:latin typeface="Amasi MT PRO"/>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537482</xdr:colOff>
      <xdr:row>0</xdr:row>
      <xdr:rowOff>163287</xdr:rowOff>
    </xdr:from>
    <xdr:to>
      <xdr:col>25</xdr:col>
      <xdr:colOff>353787</xdr:colOff>
      <xdr:row>38</xdr:row>
      <xdr:rowOff>90714</xdr:rowOff>
    </xdr:to>
    <xdr:sp macro="" textlink="">
      <xdr:nvSpPr>
        <xdr:cNvPr id="2" name="Rectangle: Rounded Corners 1">
          <a:extLst>
            <a:ext uri="{FF2B5EF4-FFF2-40B4-BE49-F238E27FC236}">
              <a16:creationId xmlns:a16="http://schemas.microsoft.com/office/drawing/2014/main" id="{D54ED53F-A390-4502-A636-BAC3FA799A66}"/>
            </a:ext>
          </a:extLst>
        </xdr:cNvPr>
        <xdr:cNvSpPr/>
      </xdr:nvSpPr>
      <xdr:spPr>
        <a:xfrm>
          <a:off x="537482" y="163287"/>
          <a:ext cx="15010948" cy="6821713"/>
        </a:xfrm>
        <a:prstGeom prst="roundRect">
          <a:avLst>
            <a:gd name="adj" fmla="val 4557"/>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54428</xdr:colOff>
      <xdr:row>1</xdr:row>
      <xdr:rowOff>90714</xdr:rowOff>
    </xdr:from>
    <xdr:to>
      <xdr:col>3</xdr:col>
      <xdr:colOff>290286</xdr:colOff>
      <xdr:row>37</xdr:row>
      <xdr:rowOff>44225</xdr:rowOff>
    </xdr:to>
    <xdr:sp macro="" textlink="">
      <xdr:nvSpPr>
        <xdr:cNvPr id="3" name="Rectangle: Rounded Corners 2">
          <a:extLst>
            <a:ext uri="{FF2B5EF4-FFF2-40B4-BE49-F238E27FC236}">
              <a16:creationId xmlns:a16="http://schemas.microsoft.com/office/drawing/2014/main" id="{78D7A450-A8BF-4900-9F3E-4240535587A6}"/>
            </a:ext>
          </a:extLst>
        </xdr:cNvPr>
        <xdr:cNvSpPr/>
      </xdr:nvSpPr>
      <xdr:spPr>
        <a:xfrm>
          <a:off x="662214" y="272143"/>
          <a:ext cx="1451429" cy="6484939"/>
        </a:xfrm>
        <a:prstGeom prst="roundRect">
          <a:avLst>
            <a:gd name="adj" fmla="val 960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394606</xdr:colOff>
      <xdr:row>4</xdr:row>
      <xdr:rowOff>27214</xdr:rowOff>
    </xdr:from>
    <xdr:to>
      <xdr:col>6</xdr:col>
      <xdr:colOff>128131</xdr:colOff>
      <xdr:row>8</xdr:row>
      <xdr:rowOff>129268</xdr:rowOff>
    </xdr:to>
    <xdr:sp macro="" textlink="">
      <xdr:nvSpPr>
        <xdr:cNvPr id="4" name="Rectangle: Rounded Corners 3">
          <a:extLst>
            <a:ext uri="{FF2B5EF4-FFF2-40B4-BE49-F238E27FC236}">
              <a16:creationId xmlns:a16="http://schemas.microsoft.com/office/drawing/2014/main" id="{0083A84E-F62B-4AC5-9212-B5C77CEDE785}"/>
            </a:ext>
          </a:extLst>
        </xdr:cNvPr>
        <xdr:cNvSpPr/>
      </xdr:nvSpPr>
      <xdr:spPr>
        <a:xfrm>
          <a:off x="2217963" y="752928"/>
          <a:ext cx="1556882" cy="827769"/>
        </a:xfrm>
        <a:prstGeom prst="roundRect">
          <a:avLst>
            <a:gd name="adj" fmla="val 7233"/>
          </a:avLst>
        </a:prstGeom>
        <a:solidFill>
          <a:srgbClr val="3654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208643</xdr:colOff>
      <xdr:row>4</xdr:row>
      <xdr:rowOff>27215</xdr:rowOff>
    </xdr:from>
    <xdr:to>
      <xdr:col>9</xdr:col>
      <xdr:colOff>154215</xdr:colOff>
      <xdr:row>8</xdr:row>
      <xdr:rowOff>131990</xdr:rowOff>
    </xdr:to>
    <xdr:sp macro="" textlink="">
      <xdr:nvSpPr>
        <xdr:cNvPr id="5" name="Rectangle: Rounded Corners 4">
          <a:extLst>
            <a:ext uri="{FF2B5EF4-FFF2-40B4-BE49-F238E27FC236}">
              <a16:creationId xmlns:a16="http://schemas.microsoft.com/office/drawing/2014/main" id="{2154A6D2-E310-481F-892B-5CBDE36EAEC0}"/>
            </a:ext>
          </a:extLst>
        </xdr:cNvPr>
        <xdr:cNvSpPr/>
      </xdr:nvSpPr>
      <xdr:spPr>
        <a:xfrm>
          <a:off x="3855357" y="752929"/>
          <a:ext cx="1768929" cy="830490"/>
        </a:xfrm>
        <a:prstGeom prst="roundRect">
          <a:avLst>
            <a:gd name="adj" fmla="val 7233"/>
          </a:avLst>
        </a:prstGeom>
        <a:solidFill>
          <a:srgbClr val="3654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281215</xdr:colOff>
      <xdr:row>4</xdr:row>
      <xdr:rowOff>45357</xdr:rowOff>
    </xdr:from>
    <xdr:to>
      <xdr:col>12</xdr:col>
      <xdr:colOff>162150</xdr:colOff>
      <xdr:row>8</xdr:row>
      <xdr:rowOff>121106</xdr:rowOff>
    </xdr:to>
    <xdr:sp macro="" textlink="">
      <xdr:nvSpPr>
        <xdr:cNvPr id="6" name="Rectangle: Rounded Corners 5">
          <a:extLst>
            <a:ext uri="{FF2B5EF4-FFF2-40B4-BE49-F238E27FC236}">
              <a16:creationId xmlns:a16="http://schemas.microsoft.com/office/drawing/2014/main" id="{BB6872FE-B359-4EAE-BAF2-C0C73BF1DAEC}"/>
            </a:ext>
          </a:extLst>
        </xdr:cNvPr>
        <xdr:cNvSpPr/>
      </xdr:nvSpPr>
      <xdr:spPr>
        <a:xfrm>
          <a:off x="5751286" y="771071"/>
          <a:ext cx="1704293" cy="801464"/>
        </a:xfrm>
        <a:prstGeom prst="roundRect">
          <a:avLst>
            <a:gd name="adj" fmla="val 7233"/>
          </a:avLst>
        </a:prstGeom>
        <a:solidFill>
          <a:srgbClr val="3654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300491</xdr:colOff>
      <xdr:row>4</xdr:row>
      <xdr:rowOff>45357</xdr:rowOff>
    </xdr:from>
    <xdr:to>
      <xdr:col>15</xdr:col>
      <xdr:colOff>176892</xdr:colOff>
      <xdr:row>8</xdr:row>
      <xdr:rowOff>94347</xdr:rowOff>
    </xdr:to>
    <xdr:sp macro="" textlink="">
      <xdr:nvSpPr>
        <xdr:cNvPr id="7" name="Rectangle: Rounded Corners 6">
          <a:extLst>
            <a:ext uri="{FF2B5EF4-FFF2-40B4-BE49-F238E27FC236}">
              <a16:creationId xmlns:a16="http://schemas.microsoft.com/office/drawing/2014/main" id="{D640071E-D852-4553-9F0A-C55F3C49405E}"/>
            </a:ext>
          </a:extLst>
        </xdr:cNvPr>
        <xdr:cNvSpPr/>
      </xdr:nvSpPr>
      <xdr:spPr>
        <a:xfrm>
          <a:off x="7593920" y="771071"/>
          <a:ext cx="1699758" cy="774705"/>
        </a:xfrm>
        <a:prstGeom prst="roundRect">
          <a:avLst>
            <a:gd name="adj" fmla="val 7233"/>
          </a:avLst>
        </a:prstGeom>
        <a:solidFill>
          <a:srgbClr val="3654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296629</xdr:colOff>
      <xdr:row>4</xdr:row>
      <xdr:rowOff>36286</xdr:rowOff>
    </xdr:from>
    <xdr:to>
      <xdr:col>18</xdr:col>
      <xdr:colOff>15874</xdr:colOff>
      <xdr:row>8</xdr:row>
      <xdr:rowOff>106142</xdr:rowOff>
    </xdr:to>
    <xdr:sp macro="" textlink="">
      <xdr:nvSpPr>
        <xdr:cNvPr id="8" name="Rectangle: Rounded Corners 7">
          <a:extLst>
            <a:ext uri="{FF2B5EF4-FFF2-40B4-BE49-F238E27FC236}">
              <a16:creationId xmlns:a16="http://schemas.microsoft.com/office/drawing/2014/main" id="{6703D01B-FEF0-4576-AB81-EC8A297DA512}"/>
            </a:ext>
          </a:extLst>
        </xdr:cNvPr>
        <xdr:cNvSpPr/>
      </xdr:nvSpPr>
      <xdr:spPr>
        <a:xfrm>
          <a:off x="9413415" y="762000"/>
          <a:ext cx="1542602" cy="795571"/>
        </a:xfrm>
        <a:prstGeom prst="roundRect">
          <a:avLst>
            <a:gd name="adj" fmla="val 7233"/>
          </a:avLst>
        </a:prstGeom>
        <a:solidFill>
          <a:srgbClr val="36542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223383</xdr:colOff>
      <xdr:row>4</xdr:row>
      <xdr:rowOff>5668</xdr:rowOff>
    </xdr:from>
    <xdr:to>
      <xdr:col>25</xdr:col>
      <xdr:colOff>145143</xdr:colOff>
      <xdr:row>8</xdr:row>
      <xdr:rowOff>108855</xdr:rowOff>
    </xdr:to>
    <xdr:sp macro="" textlink="">
      <xdr:nvSpPr>
        <xdr:cNvPr id="10" name="Rectangle: Rounded Corners 9">
          <a:extLst>
            <a:ext uri="{FF2B5EF4-FFF2-40B4-BE49-F238E27FC236}">
              <a16:creationId xmlns:a16="http://schemas.microsoft.com/office/drawing/2014/main" id="{8598F92F-53B9-49BF-B038-4B2894560024}"/>
            </a:ext>
          </a:extLst>
        </xdr:cNvPr>
        <xdr:cNvSpPr/>
      </xdr:nvSpPr>
      <xdr:spPr>
        <a:xfrm>
          <a:off x="11163526" y="731382"/>
          <a:ext cx="4176260" cy="828902"/>
        </a:xfrm>
        <a:prstGeom prst="roundRect">
          <a:avLst>
            <a:gd name="adj" fmla="val 7233"/>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271009</xdr:colOff>
      <xdr:row>1</xdr:row>
      <xdr:rowOff>82775</xdr:rowOff>
    </xdr:from>
    <xdr:to>
      <xdr:col>15</xdr:col>
      <xdr:colOff>562428</xdr:colOff>
      <xdr:row>3</xdr:row>
      <xdr:rowOff>163285</xdr:rowOff>
    </xdr:to>
    <xdr:sp macro="" textlink="">
      <xdr:nvSpPr>
        <xdr:cNvPr id="24" name="TextBox 23">
          <a:extLst>
            <a:ext uri="{FF2B5EF4-FFF2-40B4-BE49-F238E27FC236}">
              <a16:creationId xmlns:a16="http://schemas.microsoft.com/office/drawing/2014/main" id="{CBDD1258-A9FB-4247-2D1D-08CDC7AE5D4B}"/>
            </a:ext>
          </a:extLst>
        </xdr:cNvPr>
        <xdr:cNvSpPr txBox="1"/>
      </xdr:nvSpPr>
      <xdr:spPr>
        <a:xfrm>
          <a:off x="2094366" y="264204"/>
          <a:ext cx="7584848" cy="443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accent6">
                  <a:lumMod val="50000"/>
                </a:schemeClr>
              </a:solidFill>
              <a:latin typeface="Arial" panose="020B0604020202020204" pitchFamily="34" charset="0"/>
              <a:cs typeface="Arial" panose="020B0604020202020204" pitchFamily="34" charset="0"/>
            </a:rPr>
            <a:t>Target</a:t>
          </a:r>
          <a:r>
            <a:rPr lang="en-US" sz="2400" b="1" baseline="0">
              <a:solidFill>
                <a:schemeClr val="accent6">
                  <a:lumMod val="50000"/>
                </a:schemeClr>
              </a:solidFill>
              <a:latin typeface="Arial" panose="020B0604020202020204" pitchFamily="34" charset="0"/>
              <a:cs typeface="Arial" panose="020B0604020202020204" pitchFamily="34" charset="0"/>
            </a:rPr>
            <a:t> Corporation</a:t>
          </a:r>
          <a:r>
            <a:rPr lang="en-US" sz="2400" b="1">
              <a:solidFill>
                <a:schemeClr val="accent6">
                  <a:lumMod val="50000"/>
                </a:schemeClr>
              </a:solidFill>
              <a:latin typeface="Arial" panose="020B0604020202020204" pitchFamily="34" charset="0"/>
              <a:cs typeface="Arial" panose="020B0604020202020204" pitchFamily="34" charset="0"/>
            </a:rPr>
            <a:t> Sales and Profitability Analysis</a:t>
          </a:r>
        </a:p>
      </xdr:txBody>
    </xdr:sp>
    <xdr:clientData/>
  </xdr:twoCellAnchor>
  <xdr:twoCellAnchor editAs="oneCell">
    <xdr:from>
      <xdr:col>1</xdr:col>
      <xdr:colOff>382588</xdr:colOff>
      <xdr:row>2</xdr:row>
      <xdr:rowOff>42409</xdr:rowOff>
    </xdr:from>
    <xdr:to>
      <xdr:col>2</xdr:col>
      <xdr:colOff>411481</xdr:colOff>
      <xdr:row>5</xdr:row>
      <xdr:rowOff>134801</xdr:rowOff>
    </xdr:to>
    <xdr:pic>
      <xdr:nvPicPr>
        <xdr:cNvPr id="26" name="Graphic 25" descr="Teacher with solid fill">
          <a:extLst>
            <a:ext uri="{FF2B5EF4-FFF2-40B4-BE49-F238E27FC236}">
              <a16:creationId xmlns:a16="http://schemas.microsoft.com/office/drawing/2014/main" id="{E710DF8E-E1B9-C343-1699-E41CEE83DD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90374" y="405266"/>
          <a:ext cx="636678" cy="636678"/>
        </a:xfrm>
        <a:prstGeom prst="rect">
          <a:avLst/>
        </a:prstGeom>
      </xdr:spPr>
    </xdr:pic>
    <xdr:clientData/>
  </xdr:twoCellAnchor>
  <xdr:twoCellAnchor>
    <xdr:from>
      <xdr:col>1</xdr:col>
      <xdr:colOff>236988</xdr:colOff>
      <xdr:row>5</xdr:row>
      <xdr:rowOff>15874</xdr:rowOff>
    </xdr:from>
    <xdr:to>
      <xdr:col>3</xdr:col>
      <xdr:colOff>126998</xdr:colOff>
      <xdr:row>6</xdr:row>
      <xdr:rowOff>126999</xdr:rowOff>
    </xdr:to>
    <xdr:sp macro="" textlink="">
      <xdr:nvSpPr>
        <xdr:cNvPr id="27" name="TextBox 26">
          <a:extLst>
            <a:ext uri="{FF2B5EF4-FFF2-40B4-BE49-F238E27FC236}">
              <a16:creationId xmlns:a16="http://schemas.microsoft.com/office/drawing/2014/main" id="{D527EB46-FB5B-40F3-21B4-9FC38758A0E2}"/>
            </a:ext>
          </a:extLst>
        </xdr:cNvPr>
        <xdr:cNvSpPr txBox="1"/>
      </xdr:nvSpPr>
      <xdr:spPr>
        <a:xfrm>
          <a:off x="844774" y="923017"/>
          <a:ext cx="1105581" cy="292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6">
                  <a:lumMod val="50000"/>
                </a:schemeClr>
              </a:solidFill>
              <a:latin typeface="Arial" panose="020B0604020202020204" pitchFamily="34" charset="0"/>
              <a:cs typeface="Arial" panose="020B0604020202020204" pitchFamily="34" charset="0"/>
            </a:rPr>
            <a:t>Pre</a:t>
          </a:r>
          <a:r>
            <a:rPr lang="en-US" sz="1200" b="1" baseline="0">
              <a:solidFill>
                <a:schemeClr val="accent6">
                  <a:lumMod val="50000"/>
                </a:schemeClr>
              </a:solidFill>
              <a:latin typeface="Arial" panose="020B0604020202020204" pitchFamily="34" charset="0"/>
              <a:cs typeface="Arial" panose="020B0604020202020204" pitchFamily="34" charset="0"/>
            </a:rPr>
            <a:t> Analysis</a:t>
          </a:r>
          <a:endParaRPr lang="en-US" sz="1200" b="1">
            <a:solidFill>
              <a:schemeClr val="accent6">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1</xdr:col>
      <xdr:colOff>362175</xdr:colOff>
      <xdr:row>6</xdr:row>
      <xdr:rowOff>169407</xdr:rowOff>
    </xdr:from>
    <xdr:to>
      <xdr:col>2</xdr:col>
      <xdr:colOff>391068</xdr:colOff>
      <xdr:row>10</xdr:row>
      <xdr:rowOff>79237</xdr:rowOff>
    </xdr:to>
    <xdr:pic>
      <xdr:nvPicPr>
        <xdr:cNvPr id="29" name="Graphic 28" descr="Person with idea with solid fill">
          <a:extLst>
            <a:ext uri="{FF2B5EF4-FFF2-40B4-BE49-F238E27FC236}">
              <a16:creationId xmlns:a16="http://schemas.microsoft.com/office/drawing/2014/main" id="{26D999F5-2A75-6963-D0CC-EB2CE31EC4D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9961" y="1257978"/>
          <a:ext cx="636678" cy="635545"/>
        </a:xfrm>
        <a:prstGeom prst="rect">
          <a:avLst/>
        </a:prstGeom>
      </xdr:spPr>
    </xdr:pic>
    <xdr:clientData/>
  </xdr:twoCellAnchor>
  <xdr:twoCellAnchor>
    <xdr:from>
      <xdr:col>1</xdr:col>
      <xdr:colOff>252411</xdr:colOff>
      <xdr:row>10</xdr:row>
      <xdr:rowOff>118836</xdr:rowOff>
    </xdr:from>
    <xdr:to>
      <xdr:col>3</xdr:col>
      <xdr:colOff>54427</xdr:colOff>
      <xdr:row>12</xdr:row>
      <xdr:rowOff>36286</xdr:rowOff>
    </xdr:to>
    <xdr:sp macro="" textlink="">
      <xdr:nvSpPr>
        <xdr:cNvPr id="30" name="TextBox 29">
          <a:extLst>
            <a:ext uri="{FF2B5EF4-FFF2-40B4-BE49-F238E27FC236}">
              <a16:creationId xmlns:a16="http://schemas.microsoft.com/office/drawing/2014/main" id="{5480BB28-7170-4F8E-BACB-0B6D5F3233F9}"/>
            </a:ext>
          </a:extLst>
        </xdr:cNvPr>
        <xdr:cNvSpPr txBox="1"/>
      </xdr:nvSpPr>
      <xdr:spPr>
        <a:xfrm>
          <a:off x="860197" y="1933122"/>
          <a:ext cx="1017587" cy="280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accent6">
                  <a:lumMod val="50000"/>
                </a:schemeClr>
              </a:solidFill>
              <a:latin typeface="Arial" panose="020B0604020202020204" pitchFamily="34" charset="0"/>
              <a:cs typeface="Arial" panose="020B0604020202020204" pitchFamily="34" charset="0"/>
            </a:rPr>
            <a:t>In Analysis</a:t>
          </a:r>
          <a:endParaRPr lang="en-US" sz="1200" b="1">
            <a:solidFill>
              <a:schemeClr val="accent6">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1</xdr:col>
      <xdr:colOff>363992</xdr:colOff>
      <xdr:row>12</xdr:row>
      <xdr:rowOff>58284</xdr:rowOff>
    </xdr:from>
    <xdr:to>
      <xdr:col>2</xdr:col>
      <xdr:colOff>392885</xdr:colOff>
      <xdr:row>15</xdr:row>
      <xdr:rowOff>150676</xdr:rowOff>
    </xdr:to>
    <xdr:pic>
      <xdr:nvPicPr>
        <xdr:cNvPr id="32" name="Graphic 31" descr="Magnifying glass with solid fill">
          <a:extLst>
            <a:ext uri="{FF2B5EF4-FFF2-40B4-BE49-F238E27FC236}">
              <a16:creationId xmlns:a16="http://schemas.microsoft.com/office/drawing/2014/main" id="{78738B4F-46D3-F5B5-6F99-C6FE6ADA802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971778" y="2235427"/>
          <a:ext cx="636678" cy="636678"/>
        </a:xfrm>
        <a:prstGeom prst="rect">
          <a:avLst/>
        </a:prstGeom>
      </xdr:spPr>
    </xdr:pic>
    <xdr:clientData/>
  </xdr:twoCellAnchor>
  <xdr:twoCellAnchor>
    <xdr:from>
      <xdr:col>1</xdr:col>
      <xdr:colOff>253547</xdr:colOff>
      <xdr:row>16</xdr:row>
      <xdr:rowOff>37420</xdr:rowOff>
    </xdr:from>
    <xdr:to>
      <xdr:col>3</xdr:col>
      <xdr:colOff>136071</xdr:colOff>
      <xdr:row>17</xdr:row>
      <xdr:rowOff>163285</xdr:rowOff>
    </xdr:to>
    <xdr:sp macro="" textlink="">
      <xdr:nvSpPr>
        <xdr:cNvPr id="33" name="TextBox 32">
          <a:extLst>
            <a:ext uri="{FF2B5EF4-FFF2-40B4-BE49-F238E27FC236}">
              <a16:creationId xmlns:a16="http://schemas.microsoft.com/office/drawing/2014/main" id="{4C728599-70DE-428B-AAFC-F19FA94F8BA8}"/>
            </a:ext>
          </a:extLst>
        </xdr:cNvPr>
        <xdr:cNvSpPr txBox="1"/>
      </xdr:nvSpPr>
      <xdr:spPr>
        <a:xfrm>
          <a:off x="861333" y="2940277"/>
          <a:ext cx="1098095" cy="307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accent6">
                  <a:lumMod val="50000"/>
                </a:schemeClr>
              </a:solidFill>
              <a:latin typeface="Arial" panose="020B0604020202020204" pitchFamily="34" charset="0"/>
              <a:cs typeface="Arial" panose="020B0604020202020204" pitchFamily="34" charset="0"/>
            </a:rPr>
            <a:t>Observation</a:t>
          </a:r>
          <a:endParaRPr lang="en-US" sz="1200" b="1">
            <a:solidFill>
              <a:schemeClr val="accent6">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1</xdr:col>
      <xdr:colOff>439964</xdr:colOff>
      <xdr:row>18</xdr:row>
      <xdr:rowOff>126320</xdr:rowOff>
    </xdr:from>
    <xdr:to>
      <xdr:col>2</xdr:col>
      <xdr:colOff>468857</xdr:colOff>
      <xdr:row>22</xdr:row>
      <xdr:rowOff>36149</xdr:rowOff>
    </xdr:to>
    <xdr:pic>
      <xdr:nvPicPr>
        <xdr:cNvPr id="35" name="Graphic 34" descr="Rocket with solid fill">
          <a:extLst>
            <a:ext uri="{FF2B5EF4-FFF2-40B4-BE49-F238E27FC236}">
              <a16:creationId xmlns:a16="http://schemas.microsoft.com/office/drawing/2014/main" id="{5F205E5F-3ED5-B22C-159F-38DA34826B0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47750" y="3392034"/>
          <a:ext cx="636678" cy="635544"/>
        </a:xfrm>
        <a:prstGeom prst="rect">
          <a:avLst/>
        </a:prstGeom>
      </xdr:spPr>
    </xdr:pic>
    <xdr:clientData/>
  </xdr:twoCellAnchor>
  <xdr:twoCellAnchor>
    <xdr:from>
      <xdr:col>1</xdr:col>
      <xdr:colOff>9071</xdr:colOff>
      <xdr:row>22</xdr:row>
      <xdr:rowOff>75972</xdr:rowOff>
    </xdr:from>
    <xdr:to>
      <xdr:col>3</xdr:col>
      <xdr:colOff>371929</xdr:colOff>
      <xdr:row>23</xdr:row>
      <xdr:rowOff>145144</xdr:rowOff>
    </xdr:to>
    <xdr:sp macro="" textlink="">
      <xdr:nvSpPr>
        <xdr:cNvPr id="36" name="TextBox 35">
          <a:extLst>
            <a:ext uri="{FF2B5EF4-FFF2-40B4-BE49-F238E27FC236}">
              <a16:creationId xmlns:a16="http://schemas.microsoft.com/office/drawing/2014/main" id="{5BB8B80C-61FA-412B-8291-84E79753EFBE}"/>
            </a:ext>
          </a:extLst>
        </xdr:cNvPr>
        <xdr:cNvSpPr txBox="1"/>
      </xdr:nvSpPr>
      <xdr:spPr>
        <a:xfrm>
          <a:off x="616857" y="4067401"/>
          <a:ext cx="1578429" cy="25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accent6">
                  <a:lumMod val="50000"/>
                </a:schemeClr>
              </a:solidFill>
              <a:latin typeface="Arial" panose="020B0604020202020204" pitchFamily="34" charset="0"/>
              <a:cs typeface="Arial" panose="020B0604020202020204" pitchFamily="34" charset="0"/>
            </a:rPr>
            <a:t>Recommendations</a:t>
          </a:r>
          <a:endParaRPr lang="en-US" sz="1200" b="1">
            <a:solidFill>
              <a:schemeClr val="accent6">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1</xdr:col>
      <xdr:colOff>464910</xdr:colOff>
      <xdr:row>24</xdr:row>
      <xdr:rowOff>62818</xdr:rowOff>
    </xdr:from>
    <xdr:to>
      <xdr:col>2</xdr:col>
      <xdr:colOff>493803</xdr:colOff>
      <xdr:row>27</xdr:row>
      <xdr:rowOff>155212</xdr:rowOff>
    </xdr:to>
    <xdr:pic>
      <xdr:nvPicPr>
        <xdr:cNvPr id="38" name="Graphic 37" descr="Bar graph with upward trend with solid fill">
          <a:extLst>
            <a:ext uri="{FF2B5EF4-FFF2-40B4-BE49-F238E27FC236}">
              <a16:creationId xmlns:a16="http://schemas.microsoft.com/office/drawing/2014/main" id="{D9134EBE-CC1D-5CE9-264D-481D20D775A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72696" y="4417104"/>
          <a:ext cx="636678" cy="636679"/>
        </a:xfrm>
        <a:prstGeom prst="rect">
          <a:avLst/>
        </a:prstGeom>
      </xdr:spPr>
    </xdr:pic>
    <xdr:clientData/>
  </xdr:twoCellAnchor>
  <xdr:twoCellAnchor>
    <xdr:from>
      <xdr:col>1</xdr:col>
      <xdr:colOff>493259</xdr:colOff>
      <xdr:row>28</xdr:row>
      <xdr:rowOff>6577</xdr:rowOff>
    </xdr:from>
    <xdr:to>
      <xdr:col>3</xdr:col>
      <xdr:colOff>54429</xdr:colOff>
      <xdr:row>29</xdr:row>
      <xdr:rowOff>54428</xdr:rowOff>
    </xdr:to>
    <xdr:sp macro="" textlink="">
      <xdr:nvSpPr>
        <xdr:cNvPr id="39" name="TextBox 38">
          <a:extLst>
            <a:ext uri="{FF2B5EF4-FFF2-40B4-BE49-F238E27FC236}">
              <a16:creationId xmlns:a16="http://schemas.microsoft.com/office/drawing/2014/main" id="{268190F6-D561-4686-892C-EF98AC40A561}"/>
            </a:ext>
          </a:extLst>
        </xdr:cNvPr>
        <xdr:cNvSpPr txBox="1"/>
      </xdr:nvSpPr>
      <xdr:spPr>
        <a:xfrm>
          <a:off x="1101045" y="5086577"/>
          <a:ext cx="776741" cy="229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accent6">
                  <a:lumMod val="50000"/>
                </a:schemeClr>
              </a:solidFill>
              <a:latin typeface="Arial" panose="020B0604020202020204" pitchFamily="34" charset="0"/>
              <a:cs typeface="Arial" panose="020B0604020202020204" pitchFamily="34" charset="0"/>
            </a:rPr>
            <a:t>Insights</a:t>
          </a:r>
          <a:endParaRPr lang="en-US" sz="1200" b="1">
            <a:solidFill>
              <a:schemeClr val="accent6">
                <a:lumMod val="50000"/>
              </a:schemeClr>
            </a:solidFill>
            <a:latin typeface="Arial" panose="020B0604020202020204" pitchFamily="34" charset="0"/>
            <a:cs typeface="Arial" panose="020B0604020202020204" pitchFamily="34" charset="0"/>
          </a:endParaRPr>
        </a:p>
      </xdr:txBody>
    </xdr:sp>
    <xdr:clientData/>
  </xdr:twoCellAnchor>
  <xdr:twoCellAnchor editAs="oneCell">
    <xdr:from>
      <xdr:col>1</xdr:col>
      <xdr:colOff>464230</xdr:colOff>
      <xdr:row>30</xdr:row>
      <xdr:rowOff>33339</xdr:rowOff>
    </xdr:from>
    <xdr:to>
      <xdr:col>2</xdr:col>
      <xdr:colOff>493123</xdr:colOff>
      <xdr:row>33</xdr:row>
      <xdr:rowOff>125731</xdr:rowOff>
    </xdr:to>
    <xdr:pic>
      <xdr:nvPicPr>
        <xdr:cNvPr id="42" name="Graphic 41" descr="Document with solid fill">
          <a:extLst>
            <a:ext uri="{FF2B5EF4-FFF2-40B4-BE49-F238E27FC236}">
              <a16:creationId xmlns:a16="http://schemas.microsoft.com/office/drawing/2014/main" id="{892D36D7-32F3-28FB-D2B3-577C18CB7E6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72016" y="5476196"/>
          <a:ext cx="636678" cy="636678"/>
        </a:xfrm>
        <a:prstGeom prst="rect">
          <a:avLst/>
        </a:prstGeom>
      </xdr:spPr>
    </xdr:pic>
    <xdr:clientData/>
  </xdr:twoCellAnchor>
  <xdr:twoCellAnchor>
    <xdr:from>
      <xdr:col>1</xdr:col>
      <xdr:colOff>227920</xdr:colOff>
      <xdr:row>33</xdr:row>
      <xdr:rowOff>158524</xdr:rowOff>
    </xdr:from>
    <xdr:to>
      <xdr:col>3</xdr:col>
      <xdr:colOff>226787</xdr:colOff>
      <xdr:row>35</xdr:row>
      <xdr:rowOff>81643</xdr:rowOff>
    </xdr:to>
    <xdr:sp macro="" textlink="">
      <xdr:nvSpPr>
        <xdr:cNvPr id="43" name="TextBox 42">
          <a:extLst>
            <a:ext uri="{FF2B5EF4-FFF2-40B4-BE49-F238E27FC236}">
              <a16:creationId xmlns:a16="http://schemas.microsoft.com/office/drawing/2014/main" id="{0611009B-2E35-41D6-9453-69330F826E35}"/>
            </a:ext>
          </a:extLst>
        </xdr:cNvPr>
        <xdr:cNvSpPr txBox="1"/>
      </xdr:nvSpPr>
      <xdr:spPr>
        <a:xfrm>
          <a:off x="835706" y="6145667"/>
          <a:ext cx="1214438" cy="285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accent6">
                  <a:lumMod val="50000"/>
                </a:schemeClr>
              </a:solidFill>
              <a:latin typeface="Arial" panose="020B0604020202020204" pitchFamily="34" charset="0"/>
              <a:cs typeface="Arial" panose="020B0604020202020204" pitchFamily="34" charset="0"/>
            </a:rPr>
            <a:t>Post Analysis</a:t>
          </a:r>
          <a:endParaRPr lang="en-US" sz="1200" b="1">
            <a:solidFill>
              <a:schemeClr val="accent6">
                <a:lumMod val="50000"/>
              </a:schemeClr>
            </a:solidFill>
            <a:latin typeface="Arial" panose="020B0604020202020204" pitchFamily="34" charset="0"/>
            <a:cs typeface="Arial" panose="020B0604020202020204" pitchFamily="34" charset="0"/>
          </a:endParaRPr>
        </a:p>
      </xdr:txBody>
    </xdr:sp>
    <xdr:clientData/>
  </xdr:twoCellAnchor>
  <xdr:twoCellAnchor>
    <xdr:from>
      <xdr:col>3</xdr:col>
      <xdr:colOff>353786</xdr:colOff>
      <xdr:row>9</xdr:row>
      <xdr:rowOff>81643</xdr:rowOff>
    </xdr:from>
    <xdr:to>
      <xdr:col>10</xdr:col>
      <xdr:colOff>390071</xdr:colOff>
      <xdr:row>21</xdr:row>
      <xdr:rowOff>104320</xdr:rowOff>
    </xdr:to>
    <xdr:graphicFrame macro="">
      <xdr:nvGraphicFramePr>
        <xdr:cNvPr id="15" name="Chart 14">
          <a:extLst>
            <a:ext uri="{FF2B5EF4-FFF2-40B4-BE49-F238E27FC236}">
              <a16:creationId xmlns:a16="http://schemas.microsoft.com/office/drawing/2014/main" id="{CE0A06C9-AE7B-4C69-BE60-D3AAE6ECE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424092</xdr:colOff>
      <xdr:row>9</xdr:row>
      <xdr:rowOff>63500</xdr:rowOff>
    </xdr:from>
    <xdr:to>
      <xdr:col>16</xdr:col>
      <xdr:colOff>495529</xdr:colOff>
      <xdr:row>21</xdr:row>
      <xdr:rowOff>96382</xdr:rowOff>
    </xdr:to>
    <xdr:graphicFrame macro="">
      <xdr:nvGraphicFramePr>
        <xdr:cNvPr id="28" name="Chart 27">
          <a:extLst>
            <a:ext uri="{FF2B5EF4-FFF2-40B4-BE49-F238E27FC236}">
              <a16:creationId xmlns:a16="http://schemas.microsoft.com/office/drawing/2014/main" id="{8929BE52-039D-4142-A85E-E119C554F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544286</xdr:colOff>
      <xdr:row>9</xdr:row>
      <xdr:rowOff>63499</xdr:rowOff>
    </xdr:from>
    <xdr:to>
      <xdr:col>25</xdr:col>
      <xdr:colOff>192767</xdr:colOff>
      <xdr:row>21</xdr:row>
      <xdr:rowOff>106587</xdr:rowOff>
    </xdr:to>
    <xdr:graphicFrame macro="">
      <xdr:nvGraphicFramePr>
        <xdr:cNvPr id="34" name="Chart 33">
          <a:extLst>
            <a:ext uri="{FF2B5EF4-FFF2-40B4-BE49-F238E27FC236}">
              <a16:creationId xmlns:a16="http://schemas.microsoft.com/office/drawing/2014/main" id="{DD44C370-5339-4390-8D48-C1E28B4FC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74839</xdr:colOff>
      <xdr:row>21</xdr:row>
      <xdr:rowOff>168955</xdr:rowOff>
    </xdr:from>
    <xdr:to>
      <xdr:col>14</xdr:col>
      <xdr:colOff>254000</xdr:colOff>
      <xdr:row>37</xdr:row>
      <xdr:rowOff>35152</xdr:rowOff>
    </xdr:to>
    <xdr:graphicFrame macro="">
      <xdr:nvGraphicFramePr>
        <xdr:cNvPr id="37" name="Chart 36">
          <a:extLst>
            <a:ext uri="{FF2B5EF4-FFF2-40B4-BE49-F238E27FC236}">
              <a16:creationId xmlns:a16="http://schemas.microsoft.com/office/drawing/2014/main" id="{F7F30711-0299-423D-9047-C9A2EAA0B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19</xdr:col>
      <xdr:colOff>368300</xdr:colOff>
      <xdr:row>21</xdr:row>
      <xdr:rowOff>135391</xdr:rowOff>
    </xdr:from>
    <xdr:to>
      <xdr:col>25</xdr:col>
      <xdr:colOff>227921</xdr:colOff>
      <xdr:row>37</xdr:row>
      <xdr:rowOff>7937</xdr:rowOff>
    </xdr:to>
    <xdr:sp macro="" textlink="">
      <xdr:nvSpPr>
        <xdr:cNvPr id="48" name="Rectangle: Rounded Corners 47">
          <a:extLst>
            <a:ext uri="{FF2B5EF4-FFF2-40B4-BE49-F238E27FC236}">
              <a16:creationId xmlns:a16="http://schemas.microsoft.com/office/drawing/2014/main" id="{3DF6506A-2A77-BDC1-CCDD-3FDF67D7EC0C}"/>
            </a:ext>
          </a:extLst>
        </xdr:cNvPr>
        <xdr:cNvSpPr/>
      </xdr:nvSpPr>
      <xdr:spPr>
        <a:xfrm>
          <a:off x="11950700" y="4002541"/>
          <a:ext cx="3517221" cy="2818946"/>
        </a:xfrm>
        <a:prstGeom prst="roundRect">
          <a:avLst>
            <a:gd name="adj" fmla="val 4292"/>
          </a:avLst>
        </a:prstGeom>
        <a:solidFill>
          <a:schemeClr val="bg1"/>
        </a:solidFill>
        <a:ln>
          <a:noFill/>
        </a:ln>
        <a:effectLst>
          <a:glow rad="12700">
            <a:srgbClr val="538034">
              <a:alpha val="0"/>
            </a:srgbClr>
          </a:glow>
          <a:outerShdw blurRad="12700" dir="5400000" sx="96000" sy="96000" algn="ctr" rotWithShape="0">
            <a:srgbClr val="4B752F">
              <a:alpha val="70000"/>
            </a:srgb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272143</xdr:colOff>
      <xdr:row>22</xdr:row>
      <xdr:rowOff>3403</xdr:rowOff>
    </xdr:from>
    <xdr:to>
      <xdr:col>19</xdr:col>
      <xdr:colOff>346982</xdr:colOff>
      <xdr:row>37</xdr:row>
      <xdr:rowOff>43089</xdr:rowOff>
    </xdr:to>
    <xdr:graphicFrame macro="">
      <xdr:nvGraphicFramePr>
        <xdr:cNvPr id="16" name="Chart 15">
          <a:extLst>
            <a:ext uri="{FF2B5EF4-FFF2-40B4-BE49-F238E27FC236}">
              <a16:creationId xmlns:a16="http://schemas.microsoft.com/office/drawing/2014/main" id="{F4B3E173-DFC5-43B1-AFB6-E43779001E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19</xdr:col>
      <xdr:colOff>391205</xdr:colOff>
      <xdr:row>23</xdr:row>
      <xdr:rowOff>155348</xdr:rowOff>
    </xdr:from>
    <xdr:to>
      <xdr:col>25</xdr:col>
      <xdr:colOff>212044</xdr:colOff>
      <xdr:row>36</xdr:row>
      <xdr:rowOff>115660</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6D4164C9-099C-4C51-846F-1A9AEBAB14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1973605" y="4390798"/>
              <a:ext cx="3478439" cy="23542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468312</xdr:colOff>
      <xdr:row>22</xdr:row>
      <xdr:rowOff>66902</xdr:rowOff>
    </xdr:from>
    <xdr:to>
      <xdr:col>23</xdr:col>
      <xdr:colOff>146276</xdr:colOff>
      <xdr:row>23</xdr:row>
      <xdr:rowOff>97518</xdr:rowOff>
    </xdr:to>
    <xdr:sp macro="" textlink="">
      <xdr:nvSpPr>
        <xdr:cNvPr id="18" name="TextBox 17">
          <a:extLst>
            <a:ext uri="{FF2B5EF4-FFF2-40B4-BE49-F238E27FC236}">
              <a16:creationId xmlns:a16="http://schemas.microsoft.com/office/drawing/2014/main" id="{EE2A0DE1-35A0-322A-06C5-72FFD816C10D}"/>
            </a:ext>
          </a:extLst>
        </xdr:cNvPr>
        <xdr:cNvSpPr txBox="1"/>
      </xdr:nvSpPr>
      <xdr:spPr>
        <a:xfrm>
          <a:off x="12016241" y="4058331"/>
          <a:ext cx="2109106" cy="212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65422"/>
              </a:solidFill>
              <a:latin typeface="Arial" panose="020B0604020202020204" pitchFamily="34" charset="0"/>
              <a:cs typeface="Arial" panose="020B0604020202020204" pitchFamily="34" charset="0"/>
            </a:rPr>
            <a:t>Top 6 Ship Cities </a:t>
          </a:r>
          <a:r>
            <a:rPr lang="en-US" sz="900" b="1" i="1">
              <a:solidFill>
                <a:srgbClr val="365422"/>
              </a:solidFill>
              <a:latin typeface="Arial" panose="020B0604020202020204" pitchFamily="34" charset="0"/>
              <a:cs typeface="Arial" panose="020B0604020202020204" pitchFamily="34" charset="0"/>
            </a:rPr>
            <a:t>by Revenue</a:t>
          </a:r>
        </a:p>
      </xdr:txBody>
    </xdr:sp>
    <xdr:clientData/>
  </xdr:twoCellAnchor>
  <xdr:twoCellAnchor>
    <xdr:from>
      <xdr:col>3</xdr:col>
      <xdr:colOff>356054</xdr:colOff>
      <xdr:row>21</xdr:row>
      <xdr:rowOff>181202</xdr:rowOff>
    </xdr:from>
    <xdr:to>
      <xdr:col>8</xdr:col>
      <xdr:colOff>41956</xdr:colOff>
      <xdr:row>37</xdr:row>
      <xdr:rowOff>53748</xdr:rowOff>
    </xdr:to>
    <xdr:sp macro="" textlink="">
      <xdr:nvSpPr>
        <xdr:cNvPr id="19" name="Rectangle: Rounded Corners 18">
          <a:extLst>
            <a:ext uri="{FF2B5EF4-FFF2-40B4-BE49-F238E27FC236}">
              <a16:creationId xmlns:a16="http://schemas.microsoft.com/office/drawing/2014/main" id="{F3FF5065-7BB8-CDBF-1AAE-4A10F30745F6}"/>
            </a:ext>
          </a:extLst>
        </xdr:cNvPr>
        <xdr:cNvSpPr/>
      </xdr:nvSpPr>
      <xdr:spPr>
        <a:xfrm>
          <a:off x="2179411" y="3991202"/>
          <a:ext cx="2724831" cy="2775403"/>
        </a:xfrm>
        <a:prstGeom prst="roundRect">
          <a:avLst>
            <a:gd name="adj" fmla="val 7233"/>
          </a:avLst>
        </a:prstGeom>
        <a:solidFill>
          <a:schemeClr val="bg1"/>
        </a:solidFill>
        <a:ln>
          <a:noFill/>
        </a:ln>
        <a:effectLst>
          <a:glow rad="12700">
            <a:srgbClr val="538034">
              <a:alpha val="0"/>
            </a:srgbClr>
          </a:glow>
          <a:outerShdw blurRad="12700" dir="5400000" sx="96000" sy="96000" algn="ctr" rotWithShape="0">
            <a:srgbClr val="4B752F">
              <a:alpha val="70000"/>
            </a:srgbClr>
          </a:outerShdw>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341312</xdr:colOff>
      <xdr:row>23</xdr:row>
      <xdr:rowOff>82777</xdr:rowOff>
    </xdr:from>
    <xdr:to>
      <xdr:col>7</xdr:col>
      <xdr:colOff>587375</xdr:colOff>
      <xdr:row>36</xdr:row>
      <xdr:rowOff>162151</xdr:rowOff>
    </xdr:to>
    <mc:AlternateContent xmlns:mc="http://schemas.openxmlformats.org/markup-compatibility/2006">
      <mc:Choice xmlns:cx4="http://schemas.microsoft.com/office/drawing/2016/5/10/chartex" Requires="cx4">
        <xdr:graphicFrame macro="">
          <xdr:nvGraphicFramePr>
            <xdr:cNvPr id="20" name="Chart 19">
              <a:extLst>
                <a:ext uri="{FF2B5EF4-FFF2-40B4-BE49-F238E27FC236}">
                  <a16:creationId xmlns:a16="http://schemas.microsoft.com/office/drawing/2014/main" id="{05B83727-A110-4333-9EFD-840D730A0C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2170112" y="4318227"/>
              <a:ext cx="2684463" cy="24733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462643</xdr:colOff>
      <xdr:row>22</xdr:row>
      <xdr:rowOff>89580</xdr:rowOff>
    </xdr:from>
    <xdr:to>
      <xdr:col>7</xdr:col>
      <xdr:colOff>299357</xdr:colOff>
      <xdr:row>23</xdr:row>
      <xdr:rowOff>137205</xdr:rowOff>
    </xdr:to>
    <xdr:sp macro="" textlink="">
      <xdr:nvSpPr>
        <xdr:cNvPr id="21" name="TextBox 20">
          <a:extLst>
            <a:ext uri="{FF2B5EF4-FFF2-40B4-BE49-F238E27FC236}">
              <a16:creationId xmlns:a16="http://schemas.microsoft.com/office/drawing/2014/main" id="{FE4EC8B5-5DA5-C077-CDE8-1F4D795A5830}"/>
            </a:ext>
          </a:extLst>
        </xdr:cNvPr>
        <xdr:cNvSpPr txBox="1"/>
      </xdr:nvSpPr>
      <xdr:spPr>
        <a:xfrm>
          <a:off x="2286000" y="4081009"/>
          <a:ext cx="2267857" cy="2290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365422"/>
              </a:solidFill>
              <a:latin typeface="Arial" panose="020B0604020202020204" pitchFamily="34" charset="0"/>
              <a:cs typeface="Arial" panose="020B0604020202020204" pitchFamily="34" charset="0"/>
            </a:rPr>
            <a:t>State Performance </a:t>
          </a:r>
          <a:r>
            <a:rPr lang="en-US" sz="900" b="1" i="1">
              <a:solidFill>
                <a:srgbClr val="365422"/>
              </a:solidFill>
              <a:latin typeface="Arial" panose="020B0604020202020204" pitchFamily="34" charset="0"/>
              <a:cs typeface="Arial" panose="020B0604020202020204" pitchFamily="34" charset="0"/>
            </a:rPr>
            <a:t>by Revenue</a:t>
          </a:r>
        </a:p>
      </xdr:txBody>
    </xdr:sp>
    <xdr:clientData/>
  </xdr:twoCellAnchor>
  <xdr:twoCellAnchor>
    <xdr:from>
      <xdr:col>6</xdr:col>
      <xdr:colOff>535213</xdr:colOff>
      <xdr:row>3</xdr:row>
      <xdr:rowOff>151947</xdr:rowOff>
    </xdr:from>
    <xdr:to>
      <xdr:col>9</xdr:col>
      <xdr:colOff>149677</xdr:colOff>
      <xdr:row>6</xdr:row>
      <xdr:rowOff>57832</xdr:rowOff>
    </xdr:to>
    <xdr:graphicFrame macro="">
      <xdr:nvGraphicFramePr>
        <xdr:cNvPr id="22" name="Chart 21">
          <a:extLst>
            <a:ext uri="{FF2B5EF4-FFF2-40B4-BE49-F238E27FC236}">
              <a16:creationId xmlns:a16="http://schemas.microsoft.com/office/drawing/2014/main" id="{B61FB9B0-041B-2DFA-522E-77D3ABCB4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601436</xdr:colOff>
      <xdr:row>3</xdr:row>
      <xdr:rowOff>116115</xdr:rowOff>
    </xdr:from>
    <xdr:to>
      <xdr:col>6</xdr:col>
      <xdr:colOff>215901</xdr:colOff>
      <xdr:row>6</xdr:row>
      <xdr:rowOff>22000</xdr:rowOff>
    </xdr:to>
    <xdr:graphicFrame macro="">
      <xdr:nvGraphicFramePr>
        <xdr:cNvPr id="23" name="Chart 22">
          <a:extLst>
            <a:ext uri="{FF2B5EF4-FFF2-40B4-BE49-F238E27FC236}">
              <a16:creationId xmlns:a16="http://schemas.microsoft.com/office/drawing/2014/main" id="{62F6688D-B076-882C-6CC6-39D91375A3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9</xdr:col>
      <xdr:colOff>431800</xdr:colOff>
      <xdr:row>3</xdr:row>
      <xdr:rowOff>159658</xdr:rowOff>
    </xdr:from>
    <xdr:to>
      <xdr:col>12</xdr:col>
      <xdr:colOff>46263</xdr:colOff>
      <xdr:row>6</xdr:row>
      <xdr:rowOff>65543</xdr:rowOff>
    </xdr:to>
    <xdr:graphicFrame macro="">
      <xdr:nvGraphicFramePr>
        <xdr:cNvPr id="25" name="Chart 24">
          <a:extLst>
            <a:ext uri="{FF2B5EF4-FFF2-40B4-BE49-F238E27FC236}">
              <a16:creationId xmlns:a16="http://schemas.microsoft.com/office/drawing/2014/main" id="{DE6D9E0A-E050-908A-9BE4-930F91DCB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12</xdr:col>
      <xdr:colOff>470804</xdr:colOff>
      <xdr:row>3</xdr:row>
      <xdr:rowOff>140833</xdr:rowOff>
    </xdr:from>
    <xdr:to>
      <xdr:col>15</xdr:col>
      <xdr:colOff>85268</xdr:colOff>
      <xdr:row>6</xdr:row>
      <xdr:rowOff>46718</xdr:rowOff>
    </xdr:to>
    <xdr:graphicFrame macro="">
      <xdr:nvGraphicFramePr>
        <xdr:cNvPr id="31" name="Chart 30">
          <a:extLst>
            <a:ext uri="{FF2B5EF4-FFF2-40B4-BE49-F238E27FC236}">
              <a16:creationId xmlns:a16="http://schemas.microsoft.com/office/drawing/2014/main" id="{1FA34100-38B6-6FE6-C720-3927F3A8F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15</xdr:col>
      <xdr:colOff>354465</xdr:colOff>
      <xdr:row>3</xdr:row>
      <xdr:rowOff>137885</xdr:rowOff>
    </xdr:from>
    <xdr:to>
      <xdr:col>17</xdr:col>
      <xdr:colOff>576715</xdr:colOff>
      <xdr:row>6</xdr:row>
      <xdr:rowOff>43770</xdr:rowOff>
    </xdr:to>
    <xdr:graphicFrame macro="">
      <xdr:nvGraphicFramePr>
        <xdr:cNvPr id="40" name="Chart 39">
          <a:extLst>
            <a:ext uri="{FF2B5EF4-FFF2-40B4-BE49-F238E27FC236}">
              <a16:creationId xmlns:a16="http://schemas.microsoft.com/office/drawing/2014/main" id="{2DF15882-6B40-ED5F-0E3C-5192352B1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xdr:col>
      <xdr:colOff>495524</xdr:colOff>
      <xdr:row>5</xdr:row>
      <xdr:rowOff>54429</xdr:rowOff>
    </xdr:from>
    <xdr:to>
      <xdr:col>6</xdr:col>
      <xdr:colOff>9071</xdr:colOff>
      <xdr:row>6</xdr:row>
      <xdr:rowOff>136073</xdr:rowOff>
    </xdr:to>
    <xdr:sp macro="" textlink="">
      <xdr:nvSpPr>
        <xdr:cNvPr id="41" name="TextBox 40">
          <a:extLst>
            <a:ext uri="{FF2B5EF4-FFF2-40B4-BE49-F238E27FC236}">
              <a16:creationId xmlns:a16="http://schemas.microsoft.com/office/drawing/2014/main" id="{5DFF8DC7-B538-7429-A0DB-C4D264C3FA7D}"/>
            </a:ext>
          </a:extLst>
        </xdr:cNvPr>
        <xdr:cNvSpPr txBox="1"/>
      </xdr:nvSpPr>
      <xdr:spPr>
        <a:xfrm>
          <a:off x="2318881" y="961572"/>
          <a:ext cx="1336904" cy="263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Arial" panose="020B0604020202020204" pitchFamily="34" charset="0"/>
              <a:cs typeface="Arial" panose="020B0604020202020204" pitchFamily="34" charset="0"/>
            </a:rPr>
            <a:t>Best Transaction </a:t>
          </a:r>
        </a:p>
      </xdr:txBody>
    </xdr:sp>
    <xdr:clientData/>
  </xdr:twoCellAnchor>
  <xdr:twoCellAnchor>
    <xdr:from>
      <xdr:col>3</xdr:col>
      <xdr:colOff>513665</xdr:colOff>
      <xdr:row>6</xdr:row>
      <xdr:rowOff>41051</xdr:rowOff>
    </xdr:from>
    <xdr:to>
      <xdr:col>5</xdr:col>
      <xdr:colOff>426355</xdr:colOff>
      <xdr:row>8</xdr:row>
      <xdr:rowOff>4536</xdr:rowOff>
    </xdr:to>
    <xdr:sp macro="" textlink="">
      <xdr:nvSpPr>
        <xdr:cNvPr id="52" name="TextBox 51">
          <a:extLst>
            <a:ext uri="{FF2B5EF4-FFF2-40B4-BE49-F238E27FC236}">
              <a16:creationId xmlns:a16="http://schemas.microsoft.com/office/drawing/2014/main" id="{8E1BB87B-D754-451D-9727-057C8B720F27}"/>
            </a:ext>
          </a:extLst>
        </xdr:cNvPr>
        <xdr:cNvSpPr txBox="1"/>
      </xdr:nvSpPr>
      <xdr:spPr>
        <a:xfrm>
          <a:off x="2337022" y="1129622"/>
          <a:ext cx="1128262" cy="326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Arial" panose="020B0604020202020204" pitchFamily="34" charset="0"/>
              <a:cs typeface="Arial" panose="020B0604020202020204" pitchFamily="34" charset="0"/>
            </a:rPr>
            <a:t>0 - 1000</a:t>
          </a:r>
        </a:p>
      </xdr:txBody>
    </xdr:sp>
    <xdr:clientData/>
  </xdr:twoCellAnchor>
  <xdr:twoCellAnchor>
    <xdr:from>
      <xdr:col>6</xdr:col>
      <xdr:colOff>164869</xdr:colOff>
      <xdr:row>6</xdr:row>
      <xdr:rowOff>91848</xdr:rowOff>
    </xdr:from>
    <xdr:to>
      <xdr:col>8</xdr:col>
      <xdr:colOff>528410</xdr:colOff>
      <xdr:row>8</xdr:row>
      <xdr:rowOff>68035</xdr:rowOff>
    </xdr:to>
    <xdr:sp macro="" textlink="">
      <xdr:nvSpPr>
        <xdr:cNvPr id="53" name="TextBox 52">
          <a:extLst>
            <a:ext uri="{FF2B5EF4-FFF2-40B4-BE49-F238E27FC236}">
              <a16:creationId xmlns:a16="http://schemas.microsoft.com/office/drawing/2014/main" id="{CBB887C1-C01E-3B1C-B0C2-580F1EEFBA93}"/>
            </a:ext>
          </a:extLst>
        </xdr:cNvPr>
        <xdr:cNvSpPr txBox="1"/>
      </xdr:nvSpPr>
      <xdr:spPr>
        <a:xfrm>
          <a:off x="3811583" y="1180419"/>
          <a:ext cx="1579113" cy="339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b="1">
            <a:solidFill>
              <a:schemeClr val="accent6">
                <a:lumMod val="50000"/>
              </a:schemeClr>
            </a:solidFill>
          </a:endParaRPr>
        </a:p>
      </xdr:txBody>
    </xdr:sp>
    <xdr:clientData/>
  </xdr:twoCellAnchor>
  <xdr:twoCellAnchor>
    <xdr:from>
      <xdr:col>6</xdr:col>
      <xdr:colOff>145142</xdr:colOff>
      <xdr:row>5</xdr:row>
      <xdr:rowOff>26080</xdr:rowOff>
    </xdr:from>
    <xdr:to>
      <xdr:col>9</xdr:col>
      <xdr:colOff>290285</xdr:colOff>
      <xdr:row>6</xdr:row>
      <xdr:rowOff>126999</xdr:rowOff>
    </xdr:to>
    <xdr:sp macro="" textlink="">
      <xdr:nvSpPr>
        <xdr:cNvPr id="54" name="TextBox 53">
          <a:extLst>
            <a:ext uri="{FF2B5EF4-FFF2-40B4-BE49-F238E27FC236}">
              <a16:creationId xmlns:a16="http://schemas.microsoft.com/office/drawing/2014/main" id="{64F8AAB8-9FCD-C9CD-6369-C6D457827CF6}"/>
            </a:ext>
          </a:extLst>
        </xdr:cNvPr>
        <xdr:cNvSpPr txBox="1"/>
      </xdr:nvSpPr>
      <xdr:spPr>
        <a:xfrm>
          <a:off x="3791856" y="933223"/>
          <a:ext cx="1968500" cy="282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effectLst/>
              <a:latin typeface="Arial" panose="020B0604020202020204" pitchFamily="34" charset="0"/>
              <a:ea typeface="+mn-ea"/>
              <a:cs typeface="Arial" panose="020B0604020202020204" pitchFamily="34" charset="0"/>
            </a:rPr>
            <a:t>Region Lead by </a:t>
          </a:r>
          <a:r>
            <a:rPr lang="en-US" sz="1200" b="0" baseline="0">
              <a:solidFill>
                <a:schemeClr val="bg1"/>
              </a:solidFill>
              <a:latin typeface="Arial" panose="020B0604020202020204" pitchFamily="34" charset="0"/>
              <a:cs typeface="Arial" panose="020B0604020202020204" pitchFamily="34" charset="0"/>
            </a:rPr>
            <a:t>Revenue</a:t>
          </a:r>
          <a:endParaRPr lang="en-US" sz="1200" b="0">
            <a:solidFill>
              <a:schemeClr val="bg1"/>
            </a:solidFill>
            <a:latin typeface="Arial" panose="020B0604020202020204" pitchFamily="34" charset="0"/>
            <a:cs typeface="Arial" panose="020B0604020202020204" pitchFamily="34" charset="0"/>
          </a:endParaRPr>
        </a:p>
      </xdr:txBody>
    </xdr:sp>
    <xdr:clientData/>
  </xdr:twoCellAnchor>
  <xdr:twoCellAnchor>
    <xdr:from>
      <xdr:col>9</xdr:col>
      <xdr:colOff>498929</xdr:colOff>
      <xdr:row>5</xdr:row>
      <xdr:rowOff>36286</xdr:rowOff>
    </xdr:from>
    <xdr:to>
      <xdr:col>12</xdr:col>
      <xdr:colOff>199571</xdr:colOff>
      <xdr:row>6</xdr:row>
      <xdr:rowOff>108858</xdr:rowOff>
    </xdr:to>
    <xdr:sp macro="" textlink="">
      <xdr:nvSpPr>
        <xdr:cNvPr id="55" name="TextBox 54">
          <a:extLst>
            <a:ext uri="{FF2B5EF4-FFF2-40B4-BE49-F238E27FC236}">
              <a16:creationId xmlns:a16="http://schemas.microsoft.com/office/drawing/2014/main" id="{76724E04-3606-6126-1523-3F4863EB5B53}"/>
            </a:ext>
          </a:extLst>
        </xdr:cNvPr>
        <xdr:cNvSpPr txBox="1"/>
      </xdr:nvSpPr>
      <xdr:spPr>
        <a:xfrm>
          <a:off x="5969000" y="943429"/>
          <a:ext cx="15240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Arial" panose="020B0604020202020204" pitchFamily="34" charset="0"/>
              <a:cs typeface="Arial" panose="020B0604020202020204" pitchFamily="34" charset="0"/>
            </a:rPr>
            <a:t>Top</a:t>
          </a:r>
          <a:r>
            <a:rPr lang="en-US" sz="1200" b="0" baseline="0">
              <a:solidFill>
                <a:schemeClr val="bg1"/>
              </a:solidFill>
              <a:latin typeface="Arial" panose="020B0604020202020204" pitchFamily="34" charset="0"/>
              <a:cs typeface="Arial" panose="020B0604020202020204" pitchFamily="34" charset="0"/>
            </a:rPr>
            <a:t> Salesperson</a:t>
          </a:r>
          <a:endParaRPr lang="en-US" sz="1200" b="0">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434520</xdr:colOff>
      <xdr:row>5</xdr:row>
      <xdr:rowOff>58060</xdr:rowOff>
    </xdr:from>
    <xdr:to>
      <xdr:col>15</xdr:col>
      <xdr:colOff>196395</xdr:colOff>
      <xdr:row>6</xdr:row>
      <xdr:rowOff>153311</xdr:rowOff>
    </xdr:to>
    <xdr:sp macro="" textlink="">
      <xdr:nvSpPr>
        <xdr:cNvPr id="56" name="TextBox 55">
          <a:extLst>
            <a:ext uri="{FF2B5EF4-FFF2-40B4-BE49-F238E27FC236}">
              <a16:creationId xmlns:a16="http://schemas.microsoft.com/office/drawing/2014/main" id="{5AEFFA72-BB44-AB46-0766-DF3094FE8D2C}"/>
            </a:ext>
          </a:extLst>
        </xdr:cNvPr>
        <xdr:cNvSpPr txBox="1"/>
      </xdr:nvSpPr>
      <xdr:spPr>
        <a:xfrm>
          <a:off x="7727949" y="965203"/>
          <a:ext cx="1585232" cy="276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Arial" panose="020B0604020202020204" pitchFamily="34" charset="0"/>
              <a:cs typeface="Arial" panose="020B0604020202020204" pitchFamily="34" charset="0"/>
            </a:rPr>
            <a:t>Peak Month for 14"</a:t>
          </a:r>
        </a:p>
      </xdr:txBody>
    </xdr:sp>
    <xdr:clientData/>
  </xdr:twoCellAnchor>
  <xdr:twoCellAnchor>
    <xdr:from>
      <xdr:col>15</xdr:col>
      <xdr:colOff>442231</xdr:colOff>
      <xdr:row>5</xdr:row>
      <xdr:rowOff>23811</xdr:rowOff>
    </xdr:from>
    <xdr:to>
      <xdr:col>17</xdr:col>
      <xdr:colOff>553357</xdr:colOff>
      <xdr:row>6</xdr:row>
      <xdr:rowOff>111124</xdr:rowOff>
    </xdr:to>
    <xdr:sp macro="" textlink="">
      <xdr:nvSpPr>
        <xdr:cNvPr id="57" name="TextBox 56">
          <a:extLst>
            <a:ext uri="{FF2B5EF4-FFF2-40B4-BE49-F238E27FC236}">
              <a16:creationId xmlns:a16="http://schemas.microsoft.com/office/drawing/2014/main" id="{0A1618BA-045D-E070-0911-D211DEE5579A}"/>
            </a:ext>
          </a:extLst>
        </xdr:cNvPr>
        <xdr:cNvSpPr txBox="1"/>
      </xdr:nvSpPr>
      <xdr:spPr>
        <a:xfrm>
          <a:off x="9559017" y="930954"/>
          <a:ext cx="1326697" cy="268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a:solidFill>
                <a:schemeClr val="bg1"/>
              </a:solidFill>
              <a:latin typeface="Arial" panose="020B0604020202020204" pitchFamily="34" charset="0"/>
              <a:cs typeface="Arial" panose="020B0604020202020204" pitchFamily="34" charset="0"/>
            </a:rPr>
            <a:t>Sum of Revenue</a:t>
          </a:r>
        </a:p>
      </xdr:txBody>
    </xdr:sp>
    <xdr:clientData/>
  </xdr:twoCellAnchor>
  <xdr:twoCellAnchor>
    <xdr:from>
      <xdr:col>10</xdr:col>
      <xdr:colOff>15646</xdr:colOff>
      <xdr:row>6</xdr:row>
      <xdr:rowOff>49213</xdr:rowOff>
    </xdr:from>
    <xdr:to>
      <xdr:col>11</xdr:col>
      <xdr:colOff>536121</xdr:colOff>
      <xdr:row>8</xdr:row>
      <xdr:rowOff>71437</xdr:rowOff>
    </xdr:to>
    <xdr:sp macro="" textlink="">
      <xdr:nvSpPr>
        <xdr:cNvPr id="58" name="TextBox 57">
          <a:extLst>
            <a:ext uri="{FF2B5EF4-FFF2-40B4-BE49-F238E27FC236}">
              <a16:creationId xmlns:a16="http://schemas.microsoft.com/office/drawing/2014/main" id="{B94AAA10-A32B-DF96-997C-91F3C75AD97C}"/>
            </a:ext>
          </a:extLst>
        </xdr:cNvPr>
        <xdr:cNvSpPr txBox="1"/>
      </xdr:nvSpPr>
      <xdr:spPr>
        <a:xfrm>
          <a:off x="6093503" y="1137784"/>
          <a:ext cx="1128261" cy="385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Arial" panose="020B0604020202020204" pitchFamily="34" charset="0"/>
              <a:cs typeface="Arial" panose="020B0604020202020204" pitchFamily="34" charset="0"/>
            </a:rPr>
            <a:t>Nancy</a:t>
          </a:r>
        </a:p>
      </xdr:txBody>
    </xdr:sp>
    <xdr:clientData/>
  </xdr:twoCellAnchor>
  <xdr:twoCellAnchor>
    <xdr:from>
      <xdr:col>12</xdr:col>
      <xdr:colOff>426580</xdr:colOff>
      <xdr:row>6</xdr:row>
      <xdr:rowOff>42863</xdr:rowOff>
    </xdr:from>
    <xdr:to>
      <xdr:col>15</xdr:col>
      <xdr:colOff>123598</xdr:colOff>
      <xdr:row>8</xdr:row>
      <xdr:rowOff>23812</xdr:rowOff>
    </xdr:to>
    <xdr:sp macro="" textlink="">
      <xdr:nvSpPr>
        <xdr:cNvPr id="59" name="TextBox 58">
          <a:extLst>
            <a:ext uri="{FF2B5EF4-FFF2-40B4-BE49-F238E27FC236}">
              <a16:creationId xmlns:a16="http://schemas.microsoft.com/office/drawing/2014/main" id="{D8C8F138-1BFE-79D9-891A-939E1A9D4977}"/>
            </a:ext>
          </a:extLst>
        </xdr:cNvPr>
        <xdr:cNvSpPr txBox="1"/>
      </xdr:nvSpPr>
      <xdr:spPr>
        <a:xfrm>
          <a:off x="7720009" y="1131434"/>
          <a:ext cx="1520375" cy="34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Arial" panose="020B0604020202020204" pitchFamily="34" charset="0"/>
              <a:cs typeface="Arial" panose="020B0604020202020204" pitchFamily="34" charset="0"/>
            </a:rPr>
            <a:t>December</a:t>
          </a:r>
        </a:p>
      </xdr:txBody>
    </xdr:sp>
    <xdr:clientData/>
  </xdr:twoCellAnchor>
  <xdr:twoCellAnchor>
    <xdr:from>
      <xdr:col>15</xdr:col>
      <xdr:colOff>281215</xdr:colOff>
      <xdr:row>6</xdr:row>
      <xdr:rowOff>46492</xdr:rowOff>
    </xdr:from>
    <xdr:to>
      <xdr:col>18</xdr:col>
      <xdr:colOff>130402</xdr:colOff>
      <xdr:row>8</xdr:row>
      <xdr:rowOff>102054</xdr:rowOff>
    </xdr:to>
    <xdr:sp macro="" textlink="">
      <xdr:nvSpPr>
        <xdr:cNvPr id="60" name="TextBox 59">
          <a:extLst>
            <a:ext uri="{FF2B5EF4-FFF2-40B4-BE49-F238E27FC236}">
              <a16:creationId xmlns:a16="http://schemas.microsoft.com/office/drawing/2014/main" id="{970C5060-DCE3-CFAC-9EDC-225D0322D26F}"/>
            </a:ext>
          </a:extLst>
        </xdr:cNvPr>
        <xdr:cNvSpPr txBox="1"/>
      </xdr:nvSpPr>
      <xdr:spPr>
        <a:xfrm>
          <a:off x="9398001" y="1135063"/>
          <a:ext cx="1672544" cy="418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000" b="1" i="0" u="none" strike="noStrike" kern="0" cap="none" spc="0" normalizeH="0" baseline="0" noProof="0">
              <a:ln>
                <a:noFill/>
              </a:ln>
              <a:solidFill>
                <a:schemeClr val="bg1"/>
              </a:solidFill>
              <a:effectLst/>
              <a:uLnTx/>
              <a:uFillTx/>
              <a:latin typeface="Arial" panose="020B0604020202020204" pitchFamily="34" charset="0"/>
              <a:ea typeface="+mn-ea"/>
              <a:cs typeface="Arial" panose="020B0604020202020204" pitchFamily="34" charset="0"/>
            </a:rPr>
            <a:t>$435,066.16</a:t>
          </a:r>
        </a:p>
      </xdr:txBody>
    </xdr:sp>
    <xdr:clientData/>
  </xdr:twoCellAnchor>
  <xdr:twoCellAnchor>
    <xdr:from>
      <xdr:col>6</xdr:col>
      <xdr:colOff>402767</xdr:colOff>
      <xdr:row>6</xdr:row>
      <xdr:rowOff>34925</xdr:rowOff>
    </xdr:from>
    <xdr:to>
      <xdr:col>9</xdr:col>
      <xdr:colOff>36285</xdr:colOff>
      <xdr:row>8</xdr:row>
      <xdr:rowOff>57149</xdr:rowOff>
    </xdr:to>
    <xdr:sp macro="" textlink="">
      <xdr:nvSpPr>
        <xdr:cNvPr id="45" name="TextBox 44">
          <a:extLst>
            <a:ext uri="{FF2B5EF4-FFF2-40B4-BE49-F238E27FC236}">
              <a16:creationId xmlns:a16="http://schemas.microsoft.com/office/drawing/2014/main" id="{2FED0360-B4EF-62E6-71C7-9D6E79E36FE0}"/>
            </a:ext>
          </a:extLst>
        </xdr:cNvPr>
        <xdr:cNvSpPr txBox="1"/>
      </xdr:nvSpPr>
      <xdr:spPr>
        <a:xfrm>
          <a:off x="4049481" y="1123496"/>
          <a:ext cx="1456875" cy="385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Arial" panose="020B0604020202020204" pitchFamily="34" charset="0"/>
              <a:cs typeface="Arial" panose="020B0604020202020204" pitchFamily="34" charset="0"/>
            </a:rPr>
            <a:t>New</a:t>
          </a:r>
          <a:r>
            <a:rPr lang="en-US" sz="2000" b="1" baseline="0">
              <a:solidFill>
                <a:schemeClr val="bg1"/>
              </a:solidFill>
              <a:latin typeface="Arial" panose="020B0604020202020204" pitchFamily="34" charset="0"/>
              <a:cs typeface="Arial" panose="020B0604020202020204" pitchFamily="34" charset="0"/>
            </a:rPr>
            <a:t> York</a:t>
          </a:r>
          <a:endParaRPr lang="en-US" sz="20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18</xdr:col>
      <xdr:colOff>367391</xdr:colOff>
      <xdr:row>4</xdr:row>
      <xdr:rowOff>39687</xdr:rowOff>
    </xdr:from>
    <xdr:to>
      <xdr:col>24</xdr:col>
      <xdr:colOff>549954</xdr:colOff>
      <xdr:row>6</xdr:row>
      <xdr:rowOff>99786</xdr:rowOff>
    </xdr:to>
    <mc:AlternateContent xmlns:mc="http://schemas.openxmlformats.org/markup-compatibility/2006" xmlns:a14="http://schemas.microsoft.com/office/drawing/2010/main">
      <mc:Choice Requires="a14">
        <xdr:graphicFrame macro="">
          <xdr:nvGraphicFramePr>
            <xdr:cNvPr id="9" name="Salesperson">
              <a:extLst>
                <a:ext uri="{FF2B5EF4-FFF2-40B4-BE49-F238E27FC236}">
                  <a16:creationId xmlns:a16="http://schemas.microsoft.com/office/drawing/2014/main" id="{5BE25CA0-569D-2B1A-6FA0-08C231566B0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1307534" y="765401"/>
              <a:ext cx="3829277" cy="4229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373063</xdr:colOff>
      <xdr:row>6</xdr:row>
      <xdr:rowOff>28348</xdr:rowOff>
    </xdr:from>
    <xdr:to>
      <xdr:col>24</xdr:col>
      <xdr:colOff>547688</xdr:colOff>
      <xdr:row>8</xdr:row>
      <xdr:rowOff>63499</xdr:rowOff>
    </xdr:to>
    <mc:AlternateContent xmlns:mc="http://schemas.openxmlformats.org/markup-compatibility/2006" xmlns:a14="http://schemas.microsoft.com/office/drawing/2010/main">
      <mc:Choice Requires="a14">
        <xdr:graphicFrame macro="">
          <xdr:nvGraphicFramePr>
            <xdr:cNvPr id="11" name="Product Name">
              <a:extLst>
                <a:ext uri="{FF2B5EF4-FFF2-40B4-BE49-F238E27FC236}">
                  <a16:creationId xmlns:a16="http://schemas.microsoft.com/office/drawing/2014/main" id="{3639F2D0-3F1C-9963-7C8F-F0F94BC6948E}"/>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1313206" y="1116919"/>
              <a:ext cx="3821339" cy="3980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270328</xdr:colOff>
      <xdr:row>38</xdr:row>
      <xdr:rowOff>74157</xdr:rowOff>
    </xdr:from>
    <xdr:to>
      <xdr:col>25</xdr:col>
      <xdr:colOff>335643</xdr:colOff>
      <xdr:row>39</xdr:row>
      <xdr:rowOff>117929</xdr:rowOff>
    </xdr:to>
    <xdr:sp macro="" textlink="">
      <xdr:nvSpPr>
        <xdr:cNvPr id="12" name="TextBox 11">
          <a:extLst>
            <a:ext uri="{FF2B5EF4-FFF2-40B4-BE49-F238E27FC236}">
              <a16:creationId xmlns:a16="http://schemas.microsoft.com/office/drawing/2014/main" id="{FBCEA6E6-7464-D3A7-C51C-975EFC07252D}"/>
            </a:ext>
          </a:extLst>
        </xdr:cNvPr>
        <xdr:cNvSpPr txBox="1"/>
      </xdr:nvSpPr>
      <xdr:spPr>
        <a:xfrm>
          <a:off x="13641614" y="6968443"/>
          <a:ext cx="1888672" cy="225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accent6">
                  <a:lumMod val="50000"/>
                </a:schemeClr>
              </a:solidFill>
              <a:latin typeface="Arial" panose="020B0604020202020204" pitchFamily="34" charset="0"/>
              <a:cs typeface="Arial" panose="020B0604020202020204" pitchFamily="34" charset="0"/>
            </a:rPr>
            <a:t>Analysis by: Zainab O. </a:t>
          </a:r>
          <a:endParaRPr lang="en-US" sz="1200" b="1">
            <a:solidFill>
              <a:schemeClr val="accent6">
                <a:lumMod val="50000"/>
              </a:schemeClr>
            </a:solidFill>
            <a:latin typeface="Arial" panose="020B0604020202020204" pitchFamily="34" charset="0"/>
            <a:cs typeface="Arial" panose="020B0604020202020204"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165100</xdr:colOff>
      <xdr:row>9</xdr:row>
      <xdr:rowOff>31751</xdr:rowOff>
    </xdr:from>
    <xdr:to>
      <xdr:col>8</xdr:col>
      <xdr:colOff>539750</xdr:colOff>
      <xdr:row>77</xdr:row>
      <xdr:rowOff>133350</xdr:rowOff>
    </xdr:to>
    <xdr:sp macro="" textlink="">
      <xdr:nvSpPr>
        <xdr:cNvPr id="2" name="Rectangle: Rounded Corners 1">
          <a:extLst>
            <a:ext uri="{FF2B5EF4-FFF2-40B4-BE49-F238E27FC236}">
              <a16:creationId xmlns:a16="http://schemas.microsoft.com/office/drawing/2014/main" id="{3DD0540E-68F1-4CD6-93D7-E8789059253E}"/>
            </a:ext>
          </a:extLst>
        </xdr:cNvPr>
        <xdr:cNvSpPr/>
      </xdr:nvSpPr>
      <xdr:spPr>
        <a:xfrm>
          <a:off x="165100" y="1689101"/>
          <a:ext cx="5251450" cy="12623799"/>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t>POST ANALYSIS OBSERVATIONS</a:t>
          </a:r>
        </a:p>
        <a:p>
          <a:pPr algn="l"/>
          <a:r>
            <a:rPr lang="en-US" sz="1100" b="1" baseline="0"/>
            <a:t>1. Salespersons Slicer</a:t>
          </a:r>
        </a:p>
        <a:p>
          <a:pPr algn="l"/>
          <a:r>
            <a:rPr lang="en-US" sz="1100" b="1" baseline="0"/>
            <a:t>- Andrew Cencini</a:t>
          </a:r>
        </a:p>
        <a:p>
          <a:pPr algn="l"/>
          <a:r>
            <a:rPr lang="en-US" sz="1100" b="0" baseline="0"/>
            <a:t>He generated in sale for the year $67,180.50, he is from the East. The product category he sold were Jams, preserves which generated $41,391 followed by Dried fruits &amp; Nuts $11,669.50, then pasta $9,120, then Grains $2,884 and lastly baked good &amp; mixes $2,116. In the sales trend for the year, Andrew made his highest sales in June of $11,595, and his lowest sales of the year was in April of $738.40. And he only sold to Company D.</a:t>
          </a:r>
        </a:p>
        <a:p>
          <a:pPr algn="l"/>
          <a:endParaRPr lang="en-US" sz="1100" b="0" baseline="0"/>
        </a:p>
        <a:p>
          <a:pPr algn="l"/>
          <a:r>
            <a:rPr lang="en-US" sz="1100" b="1" baseline="0"/>
            <a:t>-Anne Larsen</a:t>
          </a:r>
        </a:p>
        <a:p>
          <a:pPr algn="l"/>
          <a:r>
            <a:rPr lang="en-US" sz="1100" b="0" baseline="0"/>
            <a:t>She generated a total sale of $93,858.33 for the year, she is from the South region. The product category she sold were Beverages $29,278.08, followed by Canned Meat $19,117.60, then Sauces $18,480, then Oil $13,322.40, and lastly Soups $10,663.25. In the sales trend report of the year, Anne made her highest sales in December of $12,458.47, and her lowest sales report was in September of $4,629.11. Anne sold products worth of $43,713 to Company BB , $28,208.25 to Company Z, and $21937.08 to Company K for the year. </a:t>
          </a:r>
        </a:p>
        <a:p>
          <a:pPr algn="l"/>
          <a:endParaRPr lang="en-US" sz="1100" b="0" baseline="0"/>
        </a:p>
        <a:p>
          <a:pPr algn="l"/>
          <a:r>
            <a:rPr lang="en-US" sz="1100" b="1" baseline="0"/>
            <a:t>- Jan Kotas</a:t>
          </a:r>
        </a:p>
        <a:p>
          <a:pPr algn="l"/>
          <a:r>
            <a:rPr lang="en-US" sz="1100" b="0" baseline="0"/>
            <a:t>He generated the total sales of $16,350.50 for the year, he is from the West region. The product category he sold were Beverages $6,986, followed by Fruits &amp; Veg $6,942 and lastly Candy $2,422.50. In the sales trend report of the year Jan made his highest sales of $4,928 in December, and his lowest sales was in July of $322. He only sold to Company CC for the year. </a:t>
          </a:r>
        </a:p>
        <a:p>
          <a:pPr algn="l"/>
          <a:endParaRPr lang="en-US" sz="1100" b="0" baseline="0"/>
        </a:p>
        <a:p>
          <a:pPr algn="l"/>
          <a:r>
            <a:rPr lang="en-US" sz="1100" b="1" baseline="0"/>
            <a:t>- Laura Guissani</a:t>
          </a:r>
        </a:p>
        <a:p>
          <a:pPr algn="l"/>
          <a:r>
            <a:rPr lang="en-US" sz="1100" b="0" baseline="0"/>
            <a:t>Laura made a total sales of $41,095.01 for the year, she is from the East region. The product category she sold were Condiments $15,048, followed by Baked goods and Mixes $10,681.60, then Jams, Preserves $8,850,  then Dried fruit &amp; Nuts $5.591.50, and lastly Beverages $923.91. In the sales trend report for the year, Laura made her highest sales of $6,700.60 in June and her lowest sales of $1,083.50 in March. She sold products worth of $29,133.01 to Company J and $11,962 to Company Y for the year. </a:t>
          </a:r>
        </a:p>
        <a:p>
          <a:pPr algn="l"/>
          <a:endParaRPr lang="en-US" sz="1100" b="0" baseline="0"/>
        </a:p>
        <a:p>
          <a:pPr algn="l"/>
          <a:r>
            <a:rPr lang="en-US" sz="1100" b="1" baseline="0"/>
            <a:t>- Mariya Sergienko</a:t>
          </a:r>
        </a:p>
        <a:p>
          <a:pPr algn="l"/>
          <a:r>
            <a:rPr lang="en-US" sz="1100" b="0" baseline="0"/>
            <a:t>Mariya made a total sales of $42,370.88 for the year, she is from the West region. The product category she sold were Sauce $18,080, followed by Beverages $15,515.13, then Condiments $5,230, then Soups $3,136.25, and lastly Dried fruit &amp; Nuts $409.50. In the sales trend report for the year, Mariya made her highest sales of $7,653.16 in December and her lowest sales of $1,320 in November. She sold products worth of $27,005.38 to Company C, $14,074 to Company L, and $1,291.50 to Company AA for the year. </a:t>
          </a:r>
        </a:p>
        <a:p>
          <a:pPr algn="l"/>
          <a:endParaRPr lang="en-US" sz="1100" b="0" baseline="0"/>
        </a:p>
        <a:p>
          <a:pPr algn="l"/>
          <a:r>
            <a:rPr lang="en-US" sz="1100" b="1" baseline="0"/>
            <a:t>- Michael Neipper</a:t>
          </a:r>
        </a:p>
        <a:p>
          <a:pPr algn="l"/>
          <a:r>
            <a:rPr lang="en-US" sz="1100" b="0" baseline="0"/>
            <a:t>Michael made a total sales of $37,428 for the year, he is from the North region. The product category he sold were Beverages $10,178, followed by Sauces $9,520, then Candy $9,078</a:t>
          </a:r>
          <a:r>
            <a:rPr lang="en-US" sz="1100" b="1" baseline="0"/>
            <a:t>, </a:t>
          </a:r>
          <a:r>
            <a:rPr lang="en-US" sz="1100" b="0" baseline="0"/>
            <a:t>then Dried fruit &amp; Nuts $8,642 and lastly Shipping fee $10. In the sales trend report of the year, Michael made his highest sales of $6,738.50 in October, and his lowest sales of $680 in April. He sold only to Company F for the year.</a:t>
          </a:r>
        </a:p>
        <a:p>
          <a:pPr algn="l"/>
          <a:endParaRPr lang="en-US" sz="1100" b="0" baseline="0"/>
        </a:p>
        <a:p>
          <a:pPr algn="l"/>
          <a:r>
            <a:rPr lang="en-US" sz="1100" b="1" baseline="0"/>
            <a:t>- Nancy Freehafer</a:t>
          </a:r>
        </a:p>
        <a:p>
          <a:pPr algn="l"/>
          <a:r>
            <a:rPr lang="en-US" sz="1100" b="0" baseline="0"/>
            <a:t>Nancy made a total sales of $104,252.34 for the year, she is from the North region. The product categories she sold were Beverages $47,695.99, Sauces $22,920, Dairy Product $14,685.60, Canned Meat $6,348, and Candy $6,336.75. In the sales trend report for the year, Nancy had her highest sales of $16,173.56 in December, and the lowest sales of $1,694.95 in February. She sold products worth of $50,208.35 to Company H, $36,839.99 to Company A and $17,204 to Company G for the year. </a:t>
          </a:r>
        </a:p>
        <a:p>
          <a:pPr algn="l"/>
          <a:endParaRPr lang="en-US" sz="1100" b="0" baseline="0"/>
        </a:p>
        <a:p>
          <a:pPr algn="l"/>
          <a:r>
            <a:rPr lang="en-US" sz="1100" b="1" baseline="0"/>
            <a:t>- Robert Zare</a:t>
          </a:r>
        </a:p>
        <a:p>
          <a:pPr algn="l"/>
          <a:r>
            <a:rPr lang="en-US" sz="1100" b="0" baseline="0"/>
            <a:t>Robert made a total sales of $32,530.60 for the year, he is from the West region. The product category he sold were, Dairy Products of $18,444, Pasta of $11,056.50, and Soups of $3,030.10. In the sales trend report, Robert made his highest sales of $4,542.85 in October, and his lowest sales of $260.55 in February. He sold only to Company I  for the year. </a:t>
          </a:r>
        </a:p>
      </xdr:txBody>
    </xdr:sp>
    <xdr:clientData/>
  </xdr:twoCellAnchor>
  <xdr:twoCellAnchor>
    <xdr:from>
      <xdr:col>9</xdr:col>
      <xdr:colOff>363537</xdr:colOff>
      <xdr:row>8</xdr:row>
      <xdr:rowOff>171451</xdr:rowOff>
    </xdr:from>
    <xdr:to>
      <xdr:col>18</xdr:col>
      <xdr:colOff>571500</xdr:colOff>
      <xdr:row>98</xdr:row>
      <xdr:rowOff>146050</xdr:rowOff>
    </xdr:to>
    <xdr:sp macro="" textlink="">
      <xdr:nvSpPr>
        <xdr:cNvPr id="3" name="Rectangle: Rounded Corners 2">
          <a:extLst>
            <a:ext uri="{FF2B5EF4-FFF2-40B4-BE49-F238E27FC236}">
              <a16:creationId xmlns:a16="http://schemas.microsoft.com/office/drawing/2014/main" id="{874C82C8-2C24-4949-A667-A1B95B933FC5}"/>
            </a:ext>
          </a:extLst>
        </xdr:cNvPr>
        <xdr:cNvSpPr/>
      </xdr:nvSpPr>
      <xdr:spPr>
        <a:xfrm>
          <a:off x="5849937" y="1644651"/>
          <a:ext cx="5694363" cy="16548099"/>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baseline="0"/>
            <a:t>POST ANALYSIS INSIGHTS</a:t>
          </a:r>
        </a:p>
        <a:p>
          <a:r>
            <a:rPr lang="en-US" sz="1100" b="1" baseline="0"/>
            <a:t>1. </a:t>
          </a:r>
          <a:r>
            <a:rPr lang="en-US" b="1"/>
            <a:t>Salesperson</a:t>
          </a:r>
        </a:p>
        <a:p>
          <a:r>
            <a:rPr lang="en-US" b="1"/>
            <a:t>Andrew Cencini (East Region)</a:t>
          </a:r>
        </a:p>
        <a:p>
          <a:r>
            <a:rPr lang="en-US"/>
            <a:t>Andrew generated </a:t>
          </a:r>
          <a:r>
            <a:rPr lang="en-US" b="1"/>
            <a:t>$67,180.50</a:t>
          </a:r>
          <a:r>
            <a:rPr lang="en-US"/>
            <a:t> in annual sales, driven primarily by </a:t>
          </a:r>
          <a:r>
            <a:rPr lang="en-US" b="1"/>
            <a:t>Jams &amp; Preserves</a:t>
          </a:r>
          <a:r>
            <a:rPr lang="en-US"/>
            <a:t>, which accounted for the majority of his revenue. His performance peaked strongly in </a:t>
          </a:r>
          <a:r>
            <a:rPr lang="en-US" b="1"/>
            <a:t>June</a:t>
          </a:r>
          <a:r>
            <a:rPr lang="en-US"/>
            <a:t>, indicating the ability to capitalize on mid-year demand. However, his extremely low performance in </a:t>
          </a:r>
          <a:r>
            <a:rPr lang="en-US" b="1"/>
            <a:t>April</a:t>
          </a:r>
          <a:r>
            <a:rPr lang="en-US"/>
            <a:t> and reliance on </a:t>
          </a:r>
          <a:r>
            <a:rPr lang="en-US" b="1"/>
            <a:t>a single customer (Company D)</a:t>
          </a:r>
          <a:r>
            <a:rPr lang="en-US"/>
            <a:t> highlight revenue concentration risk and inconsistent monthly sales patterns.</a:t>
          </a:r>
        </a:p>
        <a:p>
          <a:r>
            <a:rPr lang="en-US" b="1"/>
            <a:t>Insight:</a:t>
          </a:r>
          <a:r>
            <a:rPr lang="en-US"/>
            <a:t> Andrew demonstrates strong product specialization but limited customer diversification and uneven sales momentum across the year.</a:t>
          </a:r>
        </a:p>
        <a:p>
          <a:endParaRPr lang="en-US"/>
        </a:p>
        <a:p>
          <a:r>
            <a:rPr lang="en-US" b="1"/>
            <a:t>Anne Larsen (South Region)</a:t>
          </a:r>
        </a:p>
        <a:p>
          <a:r>
            <a:rPr lang="en-US"/>
            <a:t>Anne delivered a strong annual performance with </a:t>
          </a:r>
          <a:r>
            <a:rPr lang="en-US" b="1"/>
            <a:t>$93,858.33</a:t>
          </a:r>
          <a:r>
            <a:rPr lang="en-US"/>
            <a:t> in total sales. Her revenue is well distributed across multiple product categories, led by </a:t>
          </a:r>
          <a:r>
            <a:rPr lang="en-US" b="1"/>
            <a:t>Beverages and Canned Meat</a:t>
          </a:r>
          <a:r>
            <a:rPr lang="en-US"/>
            <a:t>, and supported by a diversified customer base across </a:t>
          </a:r>
          <a:r>
            <a:rPr lang="en-US" b="1"/>
            <a:t>Company BB, Z, and K</a:t>
          </a:r>
          <a:r>
            <a:rPr lang="en-US"/>
            <a:t>. Her peak in </a:t>
          </a:r>
          <a:r>
            <a:rPr lang="en-US" b="1"/>
            <a:t>December</a:t>
          </a:r>
          <a:r>
            <a:rPr lang="en-US"/>
            <a:t> reflects strong year-end sales execution, although the dip in </a:t>
          </a:r>
          <a:r>
            <a:rPr lang="en-US" b="1"/>
            <a:t>September</a:t>
          </a:r>
          <a:r>
            <a:rPr lang="en-US"/>
            <a:t> suggests seasonal softness.</a:t>
          </a:r>
        </a:p>
        <a:p>
          <a:r>
            <a:rPr lang="en-US" b="1"/>
            <a:t>Insight:</a:t>
          </a:r>
          <a:r>
            <a:rPr lang="en-US"/>
            <a:t> Anne shows balanced category sales, strong customer diversification, and effective year-end performance, making her one of the most stable performers.</a:t>
          </a:r>
          <a:br>
            <a:rPr lang="en-US"/>
          </a:br>
          <a:endParaRPr lang="en-US"/>
        </a:p>
        <a:p>
          <a:r>
            <a:rPr lang="en-US" b="1"/>
            <a:t>Jan Kotas (West Region)</a:t>
          </a:r>
        </a:p>
        <a:p>
          <a:r>
            <a:rPr lang="en-US"/>
            <a:t>Jan recorded </a:t>
          </a:r>
          <a:r>
            <a:rPr lang="en-US" b="1"/>
            <a:t>$16,350.50</a:t>
          </a:r>
          <a:r>
            <a:rPr lang="en-US"/>
            <a:t>, the lowest total sales among all salespersons. While his sales improved significantly in </a:t>
          </a:r>
          <a:r>
            <a:rPr lang="en-US" b="1"/>
            <a:t>December</a:t>
          </a:r>
          <a:r>
            <a:rPr lang="en-US"/>
            <a:t>, overall performance remained subdued throughout the year, with a notable low point in </a:t>
          </a:r>
          <a:r>
            <a:rPr lang="en-US" b="1"/>
            <a:t>July</a:t>
          </a:r>
          <a:r>
            <a:rPr lang="en-US"/>
            <a:t>. His dependency on </a:t>
          </a:r>
          <a:r>
            <a:rPr lang="en-US" b="1"/>
            <a:t>a single customer (Company CC)</a:t>
          </a:r>
          <a:r>
            <a:rPr lang="en-US"/>
            <a:t> and limited product mix restrict growth potential.</a:t>
          </a:r>
        </a:p>
        <a:p>
          <a:r>
            <a:rPr lang="en-US" b="1"/>
            <a:t>Insight:</a:t>
          </a:r>
          <a:r>
            <a:rPr lang="en-US"/>
            <a:t> Jan’s performance is constrained by narrow customer reach, limited product diversity, and low overall sales volume.</a:t>
          </a:r>
        </a:p>
        <a:p>
          <a:endParaRPr lang="en-US"/>
        </a:p>
        <a:p>
          <a:r>
            <a:rPr lang="en-US" b="1"/>
            <a:t>Laura Guissani (East Region)</a:t>
          </a:r>
        </a:p>
        <a:p>
          <a:r>
            <a:rPr lang="en-US"/>
            <a:t>Laura achieved </a:t>
          </a:r>
          <a:r>
            <a:rPr lang="en-US" b="1"/>
            <a:t>$41,095.01</a:t>
          </a:r>
          <a:r>
            <a:rPr lang="en-US"/>
            <a:t> in annual sales with a well-balanced contribution from </a:t>
          </a:r>
          <a:r>
            <a:rPr lang="en-US" b="1"/>
            <a:t>Condiments, Baked Goods &amp; Mixes, and Jams &amp; Preserves</a:t>
          </a:r>
          <a:r>
            <a:rPr lang="en-US"/>
            <a:t>. Her peak performance in </a:t>
          </a:r>
          <a:r>
            <a:rPr lang="en-US" b="1"/>
            <a:t>June</a:t>
          </a:r>
          <a:r>
            <a:rPr lang="en-US"/>
            <a:t> mirrors broader seasonal trends, while her weakest month in </a:t>
          </a:r>
          <a:r>
            <a:rPr lang="en-US" b="1"/>
            <a:t>March</a:t>
          </a:r>
          <a:r>
            <a:rPr lang="en-US"/>
            <a:t> suggests early-year demand challenges. She maintains moderate customer diversification between </a:t>
          </a:r>
          <a:r>
            <a:rPr lang="en-US" b="1"/>
            <a:t>Company J and Company Y</a:t>
          </a:r>
          <a:r>
            <a:rPr lang="en-US"/>
            <a:t>.</a:t>
          </a:r>
        </a:p>
        <a:p>
          <a:r>
            <a:rPr lang="en-US" b="1"/>
            <a:t>Insight:</a:t>
          </a:r>
          <a:r>
            <a:rPr lang="en-US"/>
            <a:t> Laura demonstrates consistent mid-range performance with healthy product diversity but opportunities exist to improve early-year sales stability.</a:t>
          </a:r>
        </a:p>
        <a:p>
          <a:endParaRPr lang="en-US"/>
        </a:p>
        <a:p>
          <a:r>
            <a:rPr lang="en-US" b="1"/>
            <a:t>Mariya Sergienko (West Region)</a:t>
          </a:r>
        </a:p>
        <a:p>
          <a:r>
            <a:rPr lang="en-US"/>
            <a:t>Mariya generated </a:t>
          </a:r>
          <a:r>
            <a:rPr lang="en-US" b="1"/>
            <a:t>$42,370.88</a:t>
          </a:r>
          <a:r>
            <a:rPr lang="en-US"/>
            <a:t>, supported largely by </a:t>
          </a:r>
          <a:r>
            <a:rPr lang="en-US" b="1"/>
            <a:t>Sauces and Beverages</a:t>
          </a:r>
          <a:r>
            <a:rPr lang="en-US"/>
            <a:t>. Her sales peaked in </a:t>
          </a:r>
          <a:r>
            <a:rPr lang="en-US" b="1"/>
            <a:t>December</a:t>
          </a:r>
          <a:r>
            <a:rPr lang="en-US"/>
            <a:t>, indicating strong year-end execution. However, a sharp decline in </a:t>
          </a:r>
          <a:r>
            <a:rPr lang="en-US" b="1"/>
            <a:t>November</a:t>
          </a:r>
          <a:r>
            <a:rPr lang="en-US"/>
            <a:t> and a heavy reliance on </a:t>
          </a:r>
          <a:r>
            <a:rPr lang="en-US" b="1"/>
            <a:t>Company C</a:t>
          </a:r>
          <a:r>
            <a:rPr lang="en-US"/>
            <a:t> expose revenue volatility risks.</a:t>
          </a:r>
        </a:p>
        <a:p>
          <a:r>
            <a:rPr lang="en-US" b="1"/>
            <a:t>Insight:</a:t>
          </a:r>
          <a:r>
            <a:rPr lang="en-US"/>
            <a:t> Mariya shows strong category focus and year-end performance but experiences month-to-month volatility and moderate customer concentration.</a:t>
          </a:r>
        </a:p>
        <a:p>
          <a:endParaRPr lang="en-US"/>
        </a:p>
        <a:p>
          <a:r>
            <a:rPr lang="en-US" b="1"/>
            <a:t>Michael Neipper (North Region)</a:t>
          </a:r>
        </a:p>
        <a:p>
          <a:r>
            <a:rPr lang="en-US"/>
            <a:t>Michael posted </a:t>
          </a:r>
          <a:r>
            <a:rPr lang="en-US" b="1"/>
            <a:t>$37,428</a:t>
          </a:r>
          <a:r>
            <a:rPr lang="en-US"/>
            <a:t> in sales, with revenue evenly spread across </a:t>
          </a:r>
          <a:r>
            <a:rPr lang="en-US" b="1"/>
            <a:t>Beverages, Sauces, Candy, and Dried Fruits &amp; Nuts</a:t>
          </a:r>
          <a:r>
            <a:rPr lang="en-US"/>
            <a:t>. His highest sales occurred in </a:t>
          </a:r>
          <a:r>
            <a:rPr lang="en-US" b="1"/>
            <a:t>October</a:t>
          </a:r>
          <a:r>
            <a:rPr lang="en-US"/>
            <a:t>, but performance dropped sharply in </a:t>
          </a:r>
          <a:r>
            <a:rPr lang="en-US" b="1"/>
            <a:t>April</a:t>
          </a:r>
          <a:r>
            <a:rPr lang="en-US"/>
            <a:t>. He sold exclusively to </a:t>
          </a:r>
          <a:r>
            <a:rPr lang="en-US" b="1"/>
            <a:t>Company F</a:t>
          </a:r>
          <a:r>
            <a:rPr lang="en-US"/>
            <a:t>, which limits scalability.</a:t>
          </a:r>
        </a:p>
        <a:p>
          <a:r>
            <a:rPr lang="en-US" b="1"/>
            <a:t>Insight:</a:t>
          </a:r>
          <a:r>
            <a:rPr lang="en-US"/>
            <a:t> Michael has a healthy product mix but faces customer dependency risk and inconsistent monthly sales patterns.</a:t>
          </a:r>
        </a:p>
        <a:p>
          <a:endParaRPr lang="en-US"/>
        </a:p>
        <a:p>
          <a:r>
            <a:rPr lang="en-US" b="1"/>
            <a:t>Nancy Freehafer (North Region)</a:t>
          </a:r>
        </a:p>
        <a:p>
          <a:r>
            <a:rPr lang="en-US"/>
            <a:t>Nancy emerged as the </a:t>
          </a:r>
          <a:r>
            <a:rPr lang="en-US" b="1"/>
            <a:t>top-performing salesperson</a:t>
          </a:r>
          <a:r>
            <a:rPr lang="en-US"/>
            <a:t> with </a:t>
          </a:r>
          <a:r>
            <a:rPr lang="en-US" b="1"/>
            <a:t>$104,252.34</a:t>
          </a:r>
          <a:r>
            <a:rPr lang="en-US"/>
            <a:t> in total sales. Her success is driven by </a:t>
          </a:r>
          <a:r>
            <a:rPr lang="en-US" b="1"/>
            <a:t>Beverages</a:t>
          </a:r>
          <a:r>
            <a:rPr lang="en-US"/>
            <a:t>, supported by Sauces and Dairy Products. She maintains a strong and diversified customer portfolio across </a:t>
          </a:r>
          <a:r>
            <a:rPr lang="en-US" b="1"/>
            <a:t>Company H, A, and G</a:t>
          </a:r>
          <a:r>
            <a:rPr lang="en-US"/>
            <a:t>. Her peak in </a:t>
          </a:r>
          <a:r>
            <a:rPr lang="en-US" b="1"/>
            <a:t>December</a:t>
          </a:r>
          <a:r>
            <a:rPr lang="en-US"/>
            <a:t> reinforces strong seasonal sales execution, despite a dip in </a:t>
          </a:r>
          <a:r>
            <a:rPr lang="en-US" b="1"/>
            <a:t>February</a:t>
          </a:r>
          <a:r>
            <a:rPr lang="en-US"/>
            <a:t>.</a:t>
          </a:r>
        </a:p>
        <a:p>
          <a:r>
            <a:rPr lang="en-US" b="1"/>
            <a:t>Insight:</a:t>
          </a:r>
          <a:r>
            <a:rPr lang="en-US"/>
            <a:t> Nancy demonstrates exceptional sales leadership, strong customer diversification, and consistent category dominance.</a:t>
          </a:r>
          <a:br>
            <a:rPr lang="en-US"/>
          </a:br>
          <a:endParaRPr lang="en-US"/>
        </a:p>
        <a:p>
          <a:r>
            <a:rPr lang="en-US" b="1"/>
            <a:t>Robert Zare (West Region)</a:t>
          </a:r>
        </a:p>
        <a:p>
          <a:r>
            <a:rPr lang="en-US"/>
            <a:t>Robert achieved </a:t>
          </a:r>
          <a:r>
            <a:rPr lang="en-US" b="1"/>
            <a:t>$32,530.60</a:t>
          </a:r>
          <a:r>
            <a:rPr lang="en-US"/>
            <a:t>, with sales concentrated in </a:t>
          </a:r>
          <a:r>
            <a:rPr lang="en-US" b="1"/>
            <a:t>Dairy Products and Pasta</a:t>
          </a:r>
          <a:r>
            <a:rPr lang="en-US"/>
            <a:t>. While he peaked in </a:t>
          </a:r>
          <a:r>
            <a:rPr lang="en-US" b="1"/>
            <a:t>October</a:t>
          </a:r>
          <a:r>
            <a:rPr lang="en-US"/>
            <a:t>, his sales dropped significantly in </a:t>
          </a:r>
          <a:r>
            <a:rPr lang="en-US" b="1"/>
            <a:t>February</a:t>
          </a:r>
          <a:r>
            <a:rPr lang="en-US"/>
            <a:t>. His exclusive reliance on </a:t>
          </a:r>
          <a:r>
            <a:rPr lang="en-US" b="1"/>
            <a:t>Company I</a:t>
          </a:r>
          <a:r>
            <a:rPr lang="en-US"/>
            <a:t> increases revenue vulnerability.</a:t>
          </a:r>
        </a:p>
        <a:p>
          <a:r>
            <a:rPr lang="en-US" b="1"/>
            <a:t>Insight:</a:t>
          </a:r>
          <a:r>
            <a:rPr lang="en-US"/>
            <a:t> Robert shows product category strength but limited customer reach and seasonal inconsistency.</a:t>
          </a:r>
        </a:p>
        <a:p>
          <a:endParaRPr lang="en-US"/>
        </a:p>
        <a:p>
          <a:r>
            <a:rPr lang="en-US" b="1"/>
            <a:t>Overall Actionable Recommendations</a:t>
          </a:r>
        </a:p>
        <a:p>
          <a:r>
            <a:rPr lang="en-US" b="1"/>
            <a:t>Reduce Customer Concentration Risk</a:t>
          </a:r>
          <a:br>
            <a:rPr lang="en-US"/>
          </a:br>
          <a:r>
            <a:rPr lang="en-US"/>
            <a:t>Several salespersons rely heavily on single customers. Expanding account portfolios should be prioritized to stabilize revenue and reduce dependency risk.</a:t>
          </a:r>
        </a:p>
        <a:p>
          <a:r>
            <a:rPr lang="en-US" b="1"/>
            <a:t>Replicate High-Performer Strategies</a:t>
          </a:r>
          <a:br>
            <a:rPr lang="en-US"/>
          </a:br>
          <a:r>
            <a:rPr lang="en-US"/>
            <a:t>Best practices from top performers (notably Nancy and Anne) should be shared across the team, especially in customer diversification and year-end sales execution.</a:t>
          </a:r>
        </a:p>
        <a:p>
          <a:r>
            <a:rPr lang="en-US" b="1"/>
            <a:t>Improve Low-Season Performance</a:t>
          </a:r>
          <a:br>
            <a:rPr lang="en-US"/>
          </a:br>
          <a:r>
            <a:rPr lang="en-US"/>
            <a:t>Consistent dips in early-year and mid-year months suggest the need for targeted promotions, incentives, and demand-generation campaigns during low-performing periods.</a:t>
          </a:r>
        </a:p>
        <a:p>
          <a:r>
            <a:rPr lang="en-US" b="1"/>
            <a:t>Encourage Product Cross-Selling</a:t>
          </a:r>
          <a:br>
            <a:rPr lang="en-US"/>
          </a:br>
          <a:r>
            <a:rPr lang="en-US"/>
            <a:t>Salespersons with narrow product focus should be trained and incentivized to cross-sell complementary product categories to increase average order value.</a:t>
          </a:r>
        </a:p>
        <a:p>
          <a:r>
            <a:rPr lang="en-US" b="1"/>
            <a:t>Regional and Individual Coaching</a:t>
          </a:r>
          <a:br>
            <a:rPr lang="en-US"/>
          </a:br>
          <a:r>
            <a:rPr lang="en-US"/>
            <a:t>Lower-performing salespersons would benefit from tailored coaching, focusing on pipeline development, customer acquisition, and sales planning.</a:t>
          </a:r>
        </a:p>
        <a:p>
          <a:pPr algn="l"/>
          <a:br>
            <a:rPr lang="en-US" sz="1100"/>
          </a:br>
          <a:endParaRPr lang="en-US" b="0"/>
        </a:p>
        <a:p>
          <a:pPr algn="l"/>
          <a:endParaRPr lang="en-US" sz="1100"/>
        </a:p>
      </xdr:txBody>
    </xdr:sp>
    <xdr:clientData/>
  </xdr:twoCellAnchor>
  <xdr:twoCellAnchor>
    <xdr:from>
      <xdr:col>4</xdr:col>
      <xdr:colOff>488950</xdr:colOff>
      <xdr:row>3</xdr:row>
      <xdr:rowOff>107950</xdr:rowOff>
    </xdr:from>
    <xdr:to>
      <xdr:col>14</xdr:col>
      <xdr:colOff>101600</xdr:colOff>
      <xdr:row>7</xdr:row>
      <xdr:rowOff>31750</xdr:rowOff>
    </xdr:to>
    <xdr:sp macro="" textlink="">
      <xdr:nvSpPr>
        <xdr:cNvPr id="4" name="TextBox 3">
          <a:extLst>
            <a:ext uri="{FF2B5EF4-FFF2-40B4-BE49-F238E27FC236}">
              <a16:creationId xmlns:a16="http://schemas.microsoft.com/office/drawing/2014/main" id="{B09EE7F7-8A46-4BDA-A09D-F04127885E8A}"/>
            </a:ext>
          </a:extLst>
        </xdr:cNvPr>
        <xdr:cNvSpPr txBox="1"/>
      </xdr:nvSpPr>
      <xdr:spPr>
        <a:xfrm>
          <a:off x="2927350" y="660400"/>
          <a:ext cx="5708650" cy="66040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a:solidFill>
                <a:schemeClr val="bg1"/>
              </a:solidFill>
              <a:latin typeface="Amasi MT PRO"/>
            </a:rPr>
            <a:t>POST</a:t>
          </a:r>
          <a:r>
            <a:rPr lang="en-US" sz="4000" baseline="0">
              <a:solidFill>
                <a:schemeClr val="bg1"/>
              </a:solidFill>
              <a:latin typeface="Amasi MT PRO"/>
            </a:rPr>
            <a:t> </a:t>
          </a:r>
          <a:r>
            <a:rPr lang="en-US" sz="4000">
              <a:solidFill>
                <a:schemeClr val="bg1"/>
              </a:solidFill>
              <a:latin typeface="Amasi MT PRO"/>
            </a:rPr>
            <a:t>ANALYSI</a:t>
          </a:r>
          <a:r>
            <a:rPr lang="en-US" sz="4000" baseline="0">
              <a:solidFill>
                <a:schemeClr val="bg1"/>
              </a:solidFill>
              <a:latin typeface="Amasi MT PRO"/>
            </a:rPr>
            <a:t>S BOARD</a:t>
          </a:r>
          <a:endParaRPr lang="en-US" sz="4000">
            <a:solidFill>
              <a:schemeClr val="bg1"/>
            </a:solidFill>
            <a:latin typeface="Amasi MT PRO"/>
          </a:endParaRP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396588</xdr:colOff>
      <xdr:row>0</xdr:row>
      <xdr:rowOff>144333</xdr:rowOff>
    </xdr:from>
    <xdr:to>
      <xdr:col>16</xdr:col>
      <xdr:colOff>282861</xdr:colOff>
      <xdr:row>24</xdr:row>
      <xdr:rowOff>8466</xdr:rowOff>
    </xdr:to>
    <xdr:pic>
      <xdr:nvPicPr>
        <xdr:cNvPr id="3" name="Picture 2">
          <a:extLst>
            <a:ext uri="{FF2B5EF4-FFF2-40B4-BE49-F238E27FC236}">
              <a16:creationId xmlns:a16="http://schemas.microsoft.com/office/drawing/2014/main" id="{5F6E6F34-782B-D395-23AE-5BD35FF0DA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96588" y="144333"/>
          <a:ext cx="9639873" cy="428373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ersons/person0.xml><?xml version="1.0" encoding="utf-8"?>
<personList xmlns="http://schemas.microsoft.com/office/spreadsheetml/2018/threadedcomments" xmlns:x="http://schemas.openxmlformats.org/spreadsheetml/2006/main"/>
</file>

<file path=xl/persons/person1.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69.772602662037" createdVersion="8" refreshedVersion="8" minRefreshableVersion="3" recordCount="369" xr:uid="{2C5D7803-3B15-4671-88CC-03467D4518D3}">
  <cacheSource type="worksheet">
    <worksheetSource ref="A1:Z370" sheet="Data (2)"/>
  </cacheSource>
  <cacheFields count="29">
    <cacheField name="Order ID" numFmtId="0">
      <sharedItems containsSemiMixedTypes="0" containsString="0" containsNumber="1" containsInteger="1" minValue="1001" maxValue="1432"/>
    </cacheField>
    <cacheField name="Order Date" numFmtId="164">
      <sharedItems containsSemiMixedTypes="0" containsNonDate="0" containsDate="1" containsString="0" minDate="2014-01-01T00:00:00" maxDate="2014-12-30T00:00:00" count="149">
        <d v="2014-01-27T00:00:00"/>
        <d v="2014-01-04T00:00:00"/>
        <d v="2014-01-12T00:00:00"/>
        <d v="2014-01-08T00:00:00"/>
        <d v="2014-01-29T00:00:00"/>
        <d v="2014-01-03T00:00:00"/>
        <d v="2014-01-06T00:00:00"/>
        <d v="2014-01-28T00:00:00"/>
        <d v="2014-01-10T00:00:00"/>
        <d v="2014-01-07T00:00:00"/>
        <d v="2014-01-11T00:00:00"/>
        <d v="2014-01-01T00:00:00"/>
        <d v="2014-01-09T00:00:00"/>
        <d v="2014-02-08T00:00:00"/>
        <d v="2014-02-03T00:00:00"/>
        <d v="2014-02-06T00:00:00"/>
        <d v="2014-02-28T00:00:00"/>
        <d v="2014-02-10T00:00:00"/>
        <d v="2014-02-11T00:00:00"/>
        <d v="2014-02-01T00:00:00"/>
        <d v="2014-02-09T00:00:00"/>
        <d v="2014-02-25T00:00:00"/>
        <d v="2014-02-26T00:00:00"/>
        <d v="2014-03-01T00:00:00"/>
        <d v="2014-02-04T00:00:00"/>
        <d v="2014-03-09T00:00:00"/>
        <d v="2014-03-06T00:00:00"/>
        <d v="2014-03-08T00:00:00"/>
        <d v="2014-03-25T00:00:00"/>
        <d v="2014-03-26T00:00:00"/>
        <d v="2014-03-29T00:00:00"/>
        <d v="2014-03-04T00:00:00"/>
        <d v="2014-03-03T00:00:00"/>
        <d v="2014-03-10T00:00:00"/>
        <d v="2014-03-11T00:00:00"/>
        <d v="2014-03-28T00:00:00"/>
        <d v="2014-04-04T00:00:00"/>
        <d v="2014-04-12T00:00:00"/>
        <d v="2014-04-08T00:00:00"/>
        <d v="2014-04-29T00:00:00"/>
        <d v="2014-04-03T00:00:00"/>
        <d v="2014-04-06T00:00:00"/>
        <d v="2014-04-28T00:00:00"/>
        <d v="2014-04-10T00:00:00"/>
        <d v="2014-04-07T00:00:00"/>
        <d v="2014-04-11T00:00:00"/>
        <d v="2014-04-01T00:00:00"/>
        <d v="2014-05-29T00:00:00"/>
        <d v="2014-05-03T00:00:00"/>
        <d v="2014-05-06T00:00:00"/>
        <d v="2014-05-28T00:00:00"/>
        <d v="2014-05-08T00:00:00"/>
        <d v="2014-05-10T00:00:00"/>
        <d v="2014-05-07T00:00:00"/>
        <d v="2014-05-11T00:00:00"/>
        <d v="2014-05-01T00:00:00"/>
        <d v="2014-05-09T00:00:00"/>
        <d v="2014-05-25T00:00:00"/>
        <d v="2014-05-26T00:00:00"/>
        <d v="2014-05-04T00:00:00"/>
        <d v="2014-06-07T00:00:00"/>
        <d v="2014-06-10T00:00:00"/>
        <d v="2014-06-11T00:00:00"/>
        <d v="2014-06-01T00:00:00"/>
        <d v="2014-06-28T00:00:00"/>
        <d v="2014-06-09T00:00:00"/>
        <d v="2014-06-06T00:00:00"/>
        <d v="2014-06-08T00:00:00"/>
        <d v="2014-06-25T00:00:00"/>
        <d v="2014-06-26T00:00:00"/>
        <d v="2014-06-29T00:00:00"/>
        <d v="2014-06-04T00:00:00"/>
        <d v="2014-06-03T00:00:00"/>
        <d v="2014-07-01T00:00:00"/>
        <d v="2014-07-28T00:00:00"/>
        <d v="2014-07-09T00:00:00"/>
        <d v="2014-07-06T00:00:00"/>
        <d v="2014-07-08T00:00:00"/>
        <d v="2014-07-25T00:00:00"/>
        <d v="2014-07-26T00:00:00"/>
        <d v="2014-07-29T00:00:00"/>
        <d v="2014-07-04T00:00:00"/>
        <d v="2014-07-03T00:00:00"/>
        <d v="2014-07-10T00:00:00"/>
        <d v="2014-07-11T00:00:00"/>
        <d v="2014-08-28T00:00:00"/>
        <d v="2014-08-08T00:00:00"/>
        <d v="2014-08-10T00:00:00"/>
        <d v="2014-08-07T00:00:00"/>
        <d v="2014-08-11T00:00:00"/>
        <d v="2014-08-01T00:00:00"/>
        <d v="2014-08-09T00:00:00"/>
        <d v="2014-08-06T00:00:00"/>
        <d v="2014-08-25T00:00:00"/>
        <d v="2014-08-26T00:00:00"/>
        <d v="2014-08-29T00:00:00"/>
        <d v="2014-08-04T00:00:00"/>
        <d v="2014-09-10T00:00:00"/>
        <d v="2014-09-11T00:00:00"/>
        <d v="2014-09-01T00:00:00"/>
        <d v="2014-09-28T00:00:00"/>
        <d v="2014-09-09T00:00:00"/>
        <d v="2014-09-06T00:00:00"/>
        <d v="2014-09-08T00:00:00"/>
        <d v="2014-09-25T00:00:00"/>
        <d v="2014-09-26T00:00:00"/>
        <d v="2014-09-29T00:00:00"/>
        <d v="2014-09-04T00:00:00"/>
        <d v="2014-09-03T00:00:00"/>
        <d v="2014-10-06T00:00:00"/>
        <d v="2014-10-28T00:00:00"/>
        <d v="2014-10-08T00:00:00"/>
        <d v="2014-10-10T00:00:00"/>
        <d v="2014-10-07T00:00:00"/>
        <d v="2014-10-11T00:00:00"/>
        <d v="2014-10-01T00:00:00"/>
        <d v="2014-10-09T00:00:00"/>
        <d v="2014-10-25T00:00:00"/>
        <d v="2014-10-26T00:00:00"/>
        <d v="2014-10-29T00:00:00"/>
        <d v="2014-10-04T00:00:00"/>
        <d v="2014-10-03T00:00:00"/>
        <d v="2014-11-10T00:00:00"/>
        <d v="2014-11-11T00:00:00"/>
        <d v="2014-11-01T00:00:00"/>
        <d v="2014-11-28T00:00:00"/>
        <d v="2014-11-09T00:00:00"/>
        <d v="2014-11-06T00:00:00"/>
        <d v="2014-11-08T00:00:00"/>
        <d v="2014-11-25T00:00:00"/>
        <d v="2014-11-26T00:00:00"/>
        <d v="2014-11-29T00:00:00"/>
        <d v="2014-11-04T00:00:00"/>
        <d v="2014-11-03T00:00:00"/>
        <d v="2014-12-27T00:00:00"/>
        <d v="2014-12-04T00:00:00"/>
        <d v="2014-12-12T00:00:00"/>
        <d v="2014-12-08T00:00:00"/>
        <d v="2014-12-29T00:00:00"/>
        <d v="2014-12-03T00:00:00"/>
        <d v="2014-12-06T00:00:00"/>
        <d v="2014-12-28T00:00:00"/>
        <d v="2014-12-10T00:00:00"/>
        <d v="2014-12-07T00:00:00"/>
        <d v="2014-12-11T00:00:00"/>
        <d v="2014-12-01T00:00:00"/>
        <d v="2014-12-09T00:00:00"/>
        <d v="2014-12-25T00:00:00"/>
        <d v="2014-12-26T00:00:00"/>
      </sharedItems>
      <fieldGroup par="27"/>
    </cacheField>
    <cacheField name="Customer ID" numFmtId="0">
      <sharedItems containsSemiMixedTypes="0" containsString="0" containsNumber="1" containsInteger="1" minValue="1" maxValue="29"/>
    </cacheField>
    <cacheField name="Customer Name" numFmtId="0">
      <sharedItems count="15">
        <s v="Company AA"/>
        <s v="Company D"/>
        <s v="Company L"/>
        <s v="Company H"/>
        <s v="Company CC"/>
        <s v="Company C"/>
        <s v="Company F"/>
        <s v="Company BB"/>
        <s v="Company J"/>
        <s v="Company G"/>
        <s v="Company K"/>
        <s v="Company A"/>
        <s v="Company I"/>
        <s v="Company Y"/>
        <s v="Company Z"/>
      </sharedItems>
    </cacheField>
    <cacheField name="Address" numFmtId="0">
      <sharedItems/>
    </cacheField>
    <cacheField name="City" numFmtId="0">
      <sharedItems count="12">
        <s v="Las Vegas"/>
        <s v="New York"/>
        <s v="Portland"/>
        <s v="Denver"/>
        <s v="Los Angelas"/>
        <s v="Milwaukee"/>
        <s v="Memphis"/>
        <s v="Chicago"/>
        <s v="Boise"/>
        <s v="Miami"/>
        <s v="Seattle"/>
        <s v="Salt Lake City"/>
      </sharedItems>
    </cacheField>
    <cacheField name="State" numFmtId="0">
      <sharedItems count="12">
        <s v="NV"/>
        <s v="NY"/>
        <s v="OR"/>
        <s v="CO"/>
        <s v="CA"/>
        <s v="WI"/>
        <s v="TN"/>
        <s v="IL"/>
        <s v="ID"/>
        <s v="FL"/>
        <s v="WA"/>
        <s v="UT"/>
      </sharedItems>
    </cacheField>
    <cacheField name="ZIP/Postal Code" numFmtId="0">
      <sharedItems containsSemiMixedTypes="0" containsString="0" containsNumber="1" containsInteger="1" minValue="99999" maxValue="99999"/>
    </cacheField>
    <cacheField name="Country/Region" numFmtId="0">
      <sharedItems/>
    </cacheField>
    <cacheField name="Salesperson" numFmtId="0">
      <sharedItems count="8">
        <s v="Mariya Sergienko"/>
        <s v="Andrew Cencini"/>
        <s v="Nancy Freehafer"/>
        <s v="Jan Kotas"/>
        <s v="Michael Neipper"/>
        <s v="Anne Larsen"/>
        <s v="Laura Giussani"/>
        <s v="Robert Zare"/>
      </sharedItems>
    </cacheField>
    <cacheField name="Region" numFmtId="0">
      <sharedItems count="4">
        <s v="West"/>
        <s v="East"/>
        <s v="North"/>
        <s v="South"/>
      </sharedItems>
    </cacheField>
    <cacheField name="Shipped Date" numFmtId="0">
      <sharedItems containsDate="1" containsString="0" containsBlank="1" containsMixedTypes="1" minDate="2014-01-05T00:00:00" maxDate="2014-12-09T00:00:00"/>
    </cacheField>
    <cacheField name="Shipper Name" numFmtId="0">
      <sharedItems containsBlank="1"/>
    </cacheField>
    <cacheField name="Ship Name" numFmtId="0">
      <sharedItems/>
    </cacheField>
    <cacheField name="Ship Address" numFmtId="0">
      <sharedItems/>
    </cacheField>
    <cacheField name="Ship City" numFmtId="0">
      <sharedItems count="12">
        <s v="Las Vegas"/>
        <s v="New York"/>
        <s v="Portland"/>
        <s v="Denver"/>
        <s v="Los Angelas"/>
        <s v="Milwaukee"/>
        <s v="Memphis"/>
        <s v="Chicago"/>
        <s v="Boise"/>
        <s v="Miami"/>
        <s v="Seattle"/>
        <s v="Salt Lake City"/>
      </sharedItems>
    </cacheField>
    <cacheField name="Ship State" numFmtId="0">
      <sharedItems/>
    </cacheField>
    <cacheField name="Ship ZIP/Postal Code" numFmtId="0">
      <sharedItems containsSemiMixedTypes="0" containsString="0" containsNumber="1" containsInteger="1" minValue="99999" maxValue="99999"/>
    </cacheField>
    <cacheField name="Ship Country/Region" numFmtId="0">
      <sharedItems/>
    </cacheField>
    <cacheField name="Payment Type" numFmtId="0">
      <sharedItems containsBlank="1"/>
    </cacheField>
    <cacheField name="Product Name" numFmtId="0">
      <sharedItems containsBlank="1" count="25">
        <s v="Beer"/>
        <s v="Dried Plums"/>
        <s v="Dried Pears"/>
        <s v="Dried Apples"/>
        <s v="Chai"/>
        <s v="Coffee"/>
        <s v="Chocolate Biscuits Mix"/>
        <s v="Chocolate"/>
        <s v="Clam Chowder"/>
        <s v="Curry Sauce"/>
        <s v="Green Tea"/>
        <s v="Boysenberry Spread"/>
        <s v="Cajun Seasoning"/>
        <s v="Crab Meat"/>
        <s v="Ravioli"/>
        <s v="Mozzarella"/>
        <s v="Syrup"/>
        <m/>
        <s v="Almonds"/>
        <s v="Fruit Cocktail"/>
        <s v="Gnocchi"/>
        <s v="Scones"/>
        <s v="Olive Oil"/>
        <s v="Marmalade"/>
        <s v="Long Grain Rice"/>
      </sharedItems>
    </cacheField>
    <cacheField name="Category" numFmtId="0">
      <sharedItems count="15">
        <s v="Beverages"/>
        <s v="Dried Fruit &amp; Nuts"/>
        <s v="Baked Goods &amp; Mixes"/>
        <s v="Candy"/>
        <s v="Soups"/>
        <s v="Sauces"/>
        <s v="Jams, Preserves"/>
        <s v="Condiments"/>
        <s v="Canned Meat"/>
        <s v="Pasta"/>
        <s v="Dairy Products"/>
        <s v="Shipping Fee "/>
        <s v="Fruit &amp; Veg"/>
        <s v="Oil"/>
        <s v="Grains"/>
      </sharedItems>
      <fieldGroup par="28"/>
    </cacheField>
    <cacheField name="Unit Price" numFmtId="0">
      <sharedItems containsString="0" containsBlank="1" containsNumber="1" minValue="2.99" maxValue="81"/>
    </cacheField>
    <cacheField name="Quantity" numFmtId="0">
      <sharedItems containsString="0" containsBlank="1" containsNumber="1" containsInteger="1" minValue="10" maxValue="100"/>
    </cacheField>
    <cacheField name="Revenue" numFmtId="165">
      <sharedItems containsSemiMixedTypes="0" containsString="0" containsNumber="1" minValue="10" maxValue="7938" count="315">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1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4">
        <rangePr autoStart="0" startNum="0" endNum="7938" groupInterval="1000"/>
        <groupItems count="10">
          <s v="&lt;0"/>
          <s v="0-1000"/>
          <s v="1000-2000"/>
          <s v="2000-3000"/>
          <s v="3000-4000"/>
          <s v="4000-5000"/>
          <s v="5000-6000"/>
          <s v="6000-7000"/>
          <s v="7000-8000"/>
          <s v="&gt;8000"/>
        </groupItems>
      </fieldGroup>
    </cacheField>
    <cacheField name="Shipping Fee" numFmtId="165">
      <sharedItems containsSemiMixedTypes="0" containsString="0" containsNumber="1" minValue="3.7345000000000002" maxValue="769.98599999999999"/>
    </cacheField>
    <cacheField name="Days (Order Date)" numFmtId="0" databaseField="0">
      <fieldGroup base="1">
        <rangePr groupBy="days" startDate="2014-01-01T00:00:00" endDate="2014-12-30T00:00:00"/>
        <groupItems count="368">
          <s v="&lt;1/1/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14"/>
        </groupItems>
      </fieldGroup>
    </cacheField>
    <cacheField name="Months (Order Date)" numFmtId="0" databaseField="0">
      <fieldGroup base="1">
        <rangePr groupBy="months" startDate="2014-01-01T00:00:00" endDate="2014-12-30T00:00:00"/>
        <groupItems count="14">
          <s v="&lt;1/1/2014"/>
          <s v="Jan"/>
          <s v="Feb"/>
          <s v="Mar"/>
          <s v="Apr"/>
          <s v="May"/>
          <s v="Jun"/>
          <s v="Jul"/>
          <s v="Aug"/>
          <s v="Sep"/>
          <s v="Oct"/>
          <s v="Nov"/>
          <s v="Dec"/>
          <s v="&gt;12/30/2014"/>
        </groupItems>
      </fieldGroup>
    </cacheField>
    <cacheField name="Category2" numFmtId="0" databaseField="0">
      <fieldGroup base="21">
        <discretePr count="15">
          <x v="0"/>
          <x v="1"/>
          <x v="2"/>
          <x v="3"/>
          <x v="10"/>
          <x v="4"/>
          <x v="5"/>
          <x v="6"/>
          <x v="7"/>
          <x v="8"/>
          <x v="9"/>
          <x v="10"/>
          <x v="10"/>
          <x v="10"/>
          <x v="10"/>
        </discretePr>
        <groupItems count="11">
          <s v="Beverages"/>
          <s v="Dried Fruit &amp; Nuts"/>
          <s v="Baked Goods &amp; Mixes"/>
          <s v="Candy"/>
          <s v="Sauces"/>
          <s v="Jams, Preserves"/>
          <s v="Condiments"/>
          <s v="Canned Meat"/>
          <s v="Pasta"/>
          <s v="Dairy Products"/>
          <s v="Group1"/>
        </groupItems>
      </fieldGroup>
    </cacheField>
  </cacheFields>
  <extLst>
    <ext xmlns:x14="http://schemas.microsoft.com/office/spreadsheetml/2009/9/main" uri="{725AE2AE-9491-48be-B2B4-4EB974FC3084}">
      <x14:pivotCacheDefinition pivotCacheId="15787241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1001"/>
    <x v="0"/>
    <n v="27"/>
    <x v="0"/>
    <s v="789 27th Street"/>
    <x v="0"/>
    <x v="0"/>
    <n v="99999"/>
    <s v="USA"/>
    <x v="0"/>
    <x v="0"/>
    <d v="2014-01-29T00:00:00"/>
    <s v="Shipping Company B"/>
    <s v="Karen Toh"/>
    <s v="789 27th Street"/>
    <x v="0"/>
    <s v="NV"/>
    <n v="99999"/>
    <s v="USA"/>
    <s v="Check"/>
    <x v="0"/>
    <x v="0"/>
    <n v="14"/>
    <n v="49"/>
    <x v="0"/>
    <n v="66.542000000000002"/>
  </r>
  <r>
    <n v="1002"/>
    <x v="0"/>
    <n v="27"/>
    <x v="0"/>
    <s v="789 27th Street"/>
    <x v="0"/>
    <x v="0"/>
    <n v="99999"/>
    <s v="USA"/>
    <x v="0"/>
    <x v="0"/>
    <d v="2014-01-29T00:00:00"/>
    <s v="Shipping Company B"/>
    <s v="Karen Toh"/>
    <s v="789 27th Street"/>
    <x v="0"/>
    <s v="NV"/>
    <n v="99999"/>
    <s v="USA"/>
    <s v="Check"/>
    <x v="1"/>
    <x v="1"/>
    <n v="3.5"/>
    <n v="47"/>
    <x v="1"/>
    <n v="16.6145"/>
  </r>
  <r>
    <n v="1003"/>
    <x v="1"/>
    <n v="4"/>
    <x v="1"/>
    <s v="123 4th Street"/>
    <x v="1"/>
    <x v="1"/>
    <n v="99999"/>
    <s v="USA"/>
    <x v="1"/>
    <x v="1"/>
    <d v="2014-01-06T00:00:00"/>
    <s v="Shipping Company A"/>
    <s v="Christina Lee"/>
    <s v="123 4th Street"/>
    <x v="1"/>
    <s v="NY"/>
    <n v="99999"/>
    <s v="USA"/>
    <s v="Credit Card"/>
    <x v="2"/>
    <x v="1"/>
    <n v="30"/>
    <n v="69"/>
    <x v="2"/>
    <n v="198.72"/>
  </r>
  <r>
    <n v="1004"/>
    <x v="1"/>
    <n v="4"/>
    <x v="1"/>
    <s v="123 4th Street"/>
    <x v="1"/>
    <x v="1"/>
    <n v="99999"/>
    <s v="USA"/>
    <x v="1"/>
    <x v="1"/>
    <d v="2014-01-06T00:00:00"/>
    <s v="Shipping Company A"/>
    <s v="Christina Lee"/>
    <s v="123 4th Street"/>
    <x v="1"/>
    <s v="NY"/>
    <n v="99999"/>
    <s v="USA"/>
    <s v="Credit Card"/>
    <x v="3"/>
    <x v="1"/>
    <n v="53"/>
    <n v="89"/>
    <x v="3"/>
    <n v="448.11500000000001"/>
  </r>
  <r>
    <n v="1005"/>
    <x v="1"/>
    <n v="4"/>
    <x v="1"/>
    <s v="123 4th Street"/>
    <x v="1"/>
    <x v="1"/>
    <n v="99999"/>
    <s v="USA"/>
    <x v="1"/>
    <x v="1"/>
    <d v="2014-01-06T00:00:00"/>
    <s v="Shipping Company A"/>
    <s v="Christina Lee"/>
    <s v="123 4th Street"/>
    <x v="1"/>
    <s v="NY"/>
    <n v="99999"/>
    <s v="USA"/>
    <s v="Credit Card"/>
    <x v="1"/>
    <x v="1"/>
    <n v="3.5"/>
    <n v="11"/>
    <x v="4"/>
    <n v="3.7345000000000002"/>
  </r>
  <r>
    <n v="1006"/>
    <x v="2"/>
    <n v="12"/>
    <x v="2"/>
    <s v="123 12th Street"/>
    <x v="0"/>
    <x v="0"/>
    <n v="99999"/>
    <s v="USA"/>
    <x v="0"/>
    <x v="0"/>
    <d v="2014-01-14T00:00:00"/>
    <s v="Shipping Company B"/>
    <s v="John Edwards"/>
    <s v="123 12th Street"/>
    <x v="0"/>
    <s v="NV"/>
    <n v="99999"/>
    <s v="USA"/>
    <s v="Credit Card"/>
    <x v="4"/>
    <x v="0"/>
    <n v="18"/>
    <n v="81"/>
    <x v="5"/>
    <n v="141.42600000000002"/>
  </r>
  <r>
    <n v="1007"/>
    <x v="2"/>
    <n v="12"/>
    <x v="2"/>
    <s v="123 12th Street"/>
    <x v="0"/>
    <x v="0"/>
    <n v="99999"/>
    <s v="USA"/>
    <x v="0"/>
    <x v="0"/>
    <d v="2014-01-14T00:00:00"/>
    <s v="Shipping Company B"/>
    <s v="John Edwards"/>
    <s v="123 12th Street"/>
    <x v="0"/>
    <s v="NV"/>
    <n v="99999"/>
    <s v="USA"/>
    <s v="Credit Card"/>
    <x v="5"/>
    <x v="0"/>
    <n v="46"/>
    <n v="44"/>
    <x v="6"/>
    <n v="198.352"/>
  </r>
  <r>
    <n v="1008"/>
    <x v="3"/>
    <n v="8"/>
    <x v="3"/>
    <s v="123 8th Street"/>
    <x v="2"/>
    <x v="2"/>
    <n v="99999"/>
    <s v="USA"/>
    <x v="2"/>
    <x v="2"/>
    <d v="2014-01-10T00:00:00"/>
    <s v="Shipping Company C"/>
    <s v="Elizabeth Andersen"/>
    <s v="123 8th Street"/>
    <x v="2"/>
    <s v="OR"/>
    <n v="99999"/>
    <s v="USA"/>
    <s v="Credit Card"/>
    <x v="6"/>
    <x v="2"/>
    <n v="9.1999999999999993"/>
    <n v="38"/>
    <x v="7"/>
    <n v="36.008800000000001"/>
  </r>
  <r>
    <n v="1009"/>
    <x v="1"/>
    <n v="4"/>
    <x v="1"/>
    <s v="123 4th Street"/>
    <x v="1"/>
    <x v="1"/>
    <n v="99999"/>
    <s v="USA"/>
    <x v="1"/>
    <x v="1"/>
    <d v="2014-01-06T00:00:00"/>
    <s v="Shipping Company C"/>
    <s v="Christina Lee"/>
    <s v="123 4th Street"/>
    <x v="1"/>
    <s v="NY"/>
    <n v="99999"/>
    <s v="USA"/>
    <s v="Check"/>
    <x v="6"/>
    <x v="2"/>
    <n v="9.1999999999999993"/>
    <n v="88"/>
    <x v="8"/>
    <n v="79.340799999999987"/>
  </r>
  <r>
    <n v="1010"/>
    <x v="4"/>
    <n v="29"/>
    <x v="4"/>
    <s v="789 29th Street"/>
    <x v="3"/>
    <x v="3"/>
    <n v="99999"/>
    <s v="USA"/>
    <x v="3"/>
    <x v="0"/>
    <d v="2014-01-31T00:00:00"/>
    <s v="Shipping Company B"/>
    <s v="Soo Jung Lee"/>
    <s v="789 29th Street"/>
    <x v="3"/>
    <s v="CO"/>
    <n v="99999"/>
    <s v="USA"/>
    <s v="Check"/>
    <x v="7"/>
    <x v="3"/>
    <n v="12.75"/>
    <n v="94"/>
    <x v="9"/>
    <n v="122.24700000000001"/>
  </r>
  <r>
    <n v="1011"/>
    <x v="5"/>
    <n v="3"/>
    <x v="5"/>
    <s v="123 3rd Street"/>
    <x v="4"/>
    <x v="4"/>
    <n v="99999"/>
    <s v="USA"/>
    <x v="0"/>
    <x v="0"/>
    <d v="2014-01-05T00:00:00"/>
    <s v="Shipping Company B"/>
    <s v="Thomas Axerr"/>
    <s v="123 3rd Street"/>
    <x v="4"/>
    <s v="CA"/>
    <n v="99999"/>
    <s v="USA"/>
    <s v="Cash"/>
    <x v="8"/>
    <x v="4"/>
    <n v="9.65"/>
    <n v="91"/>
    <x v="10"/>
    <n v="92.205749999999995"/>
  </r>
  <r>
    <n v="1012"/>
    <x v="6"/>
    <n v="6"/>
    <x v="6"/>
    <s v="123 6th Street"/>
    <x v="5"/>
    <x v="5"/>
    <n v="99999"/>
    <s v="USA"/>
    <x v="4"/>
    <x v="2"/>
    <d v="2014-01-08T00:00:00"/>
    <s v="Shipping Company B"/>
    <s v="Francisco Pérez-Olaeta"/>
    <s v="123 6th Street"/>
    <x v="5"/>
    <s v="WI"/>
    <n v="99999"/>
    <s v="USA"/>
    <s v="Credit Card"/>
    <x v="9"/>
    <x v="5"/>
    <n v="40"/>
    <n v="32"/>
    <x v="11"/>
    <n v="133.12"/>
  </r>
  <r>
    <n v="1013"/>
    <x v="7"/>
    <n v="28"/>
    <x v="7"/>
    <s v="789 28th Street"/>
    <x v="6"/>
    <x v="6"/>
    <n v="99999"/>
    <s v="USA"/>
    <x v="5"/>
    <x v="3"/>
    <d v="2014-01-30T00:00:00"/>
    <s v="Shipping Company C"/>
    <s v="Amritansh Raghav"/>
    <s v="789 28th Street"/>
    <x v="6"/>
    <s v="TN"/>
    <n v="99999"/>
    <s v="USA"/>
    <s v="Check"/>
    <x v="5"/>
    <x v="0"/>
    <n v="46"/>
    <n v="55"/>
    <x v="12"/>
    <n v="253"/>
  </r>
  <r>
    <n v="1014"/>
    <x v="3"/>
    <n v="8"/>
    <x v="3"/>
    <s v="123 8th Street"/>
    <x v="2"/>
    <x v="2"/>
    <n v="99999"/>
    <s v="USA"/>
    <x v="2"/>
    <x v="2"/>
    <d v="2014-01-10T00:00:00"/>
    <s v="Shipping Company C"/>
    <s v="Elizabeth Andersen"/>
    <s v="123 8th Street"/>
    <x v="2"/>
    <s v="OR"/>
    <n v="99999"/>
    <s v="USA"/>
    <s v="Check"/>
    <x v="7"/>
    <x v="3"/>
    <n v="12.75"/>
    <n v="47"/>
    <x v="13"/>
    <n v="61.722750000000005"/>
  </r>
  <r>
    <n v="1015"/>
    <x v="8"/>
    <n v="10"/>
    <x v="8"/>
    <s v="123 10th Street"/>
    <x v="7"/>
    <x v="7"/>
    <n v="99999"/>
    <s v="USA"/>
    <x v="6"/>
    <x v="1"/>
    <d v="2014-01-12T00:00:00"/>
    <s v="Shipping Company B"/>
    <s v="Roland Wacker"/>
    <s v="123 10th Street"/>
    <x v="7"/>
    <s v="IL"/>
    <n v="99999"/>
    <s v="USA"/>
    <s v="Credit Card"/>
    <x v="10"/>
    <x v="0"/>
    <n v="2.99"/>
    <n v="90"/>
    <x v="14"/>
    <n v="27.717300000000005"/>
  </r>
  <r>
    <n v="1016"/>
    <x v="9"/>
    <n v="7"/>
    <x v="9"/>
    <s v="123 7th Street"/>
    <x v="8"/>
    <x v="8"/>
    <n v="99999"/>
    <s v="USA"/>
    <x v="2"/>
    <x v="2"/>
    <m/>
    <m/>
    <s v="Ming-Yang Xie"/>
    <s v="123 7th Street"/>
    <x v="8"/>
    <s v="ID"/>
    <n v="99999"/>
    <s v="USA"/>
    <m/>
    <x v="5"/>
    <x v="0"/>
    <n v="46"/>
    <n v="24"/>
    <x v="15"/>
    <n v="110.4"/>
  </r>
  <r>
    <n v="1017"/>
    <x v="8"/>
    <n v="10"/>
    <x v="8"/>
    <s v="123 10th Street"/>
    <x v="7"/>
    <x v="7"/>
    <n v="99999"/>
    <s v="USA"/>
    <x v="6"/>
    <x v="1"/>
    <d v="2014-01-12T00:00:00"/>
    <s v="Shipping Company A"/>
    <s v="Roland Wacker"/>
    <s v="123 10th Street"/>
    <x v="7"/>
    <s v="IL"/>
    <n v="99999"/>
    <s v="USA"/>
    <m/>
    <x v="11"/>
    <x v="6"/>
    <n v="25"/>
    <n v="34"/>
    <x v="16"/>
    <n v="80.75"/>
  </r>
  <r>
    <n v="1018"/>
    <x v="8"/>
    <n v="10"/>
    <x v="8"/>
    <s v="123 10th Street"/>
    <x v="7"/>
    <x v="7"/>
    <n v="99999"/>
    <s v="USA"/>
    <x v="6"/>
    <x v="1"/>
    <d v="2014-01-12T00:00:00"/>
    <s v="Shipping Company A"/>
    <s v="Roland Wacker"/>
    <s v="123 10th Street"/>
    <x v="7"/>
    <s v="IL"/>
    <n v="99999"/>
    <s v="USA"/>
    <m/>
    <x v="12"/>
    <x v="7"/>
    <n v="22"/>
    <n v="17"/>
    <x v="17"/>
    <n v="35.903999999999996"/>
  </r>
  <r>
    <n v="1019"/>
    <x v="8"/>
    <n v="10"/>
    <x v="8"/>
    <s v="123 10th Street"/>
    <x v="7"/>
    <x v="7"/>
    <n v="99999"/>
    <s v="USA"/>
    <x v="6"/>
    <x v="1"/>
    <d v="2014-01-12T00:00:00"/>
    <s v="Shipping Company A"/>
    <s v="Roland Wacker"/>
    <s v="123 10th Street"/>
    <x v="7"/>
    <s v="IL"/>
    <n v="99999"/>
    <s v="USA"/>
    <m/>
    <x v="6"/>
    <x v="2"/>
    <n v="9.1999999999999993"/>
    <n v="44"/>
    <x v="18"/>
    <n v="42.099199999999996"/>
  </r>
  <r>
    <n v="1020"/>
    <x v="10"/>
    <n v="11"/>
    <x v="10"/>
    <s v="123 11th Street"/>
    <x v="9"/>
    <x v="9"/>
    <n v="99999"/>
    <s v="USA"/>
    <x v="5"/>
    <x v="3"/>
    <m/>
    <s v="Shipping Company C"/>
    <s v="Peter Krschne"/>
    <s v="123 11th Street"/>
    <x v="9"/>
    <s v="FL"/>
    <n v="99999"/>
    <s v="USA"/>
    <m/>
    <x v="1"/>
    <x v="1"/>
    <n v="3.5"/>
    <n v="81"/>
    <x v="19"/>
    <n v="27.499500000000001"/>
  </r>
  <r>
    <n v="1021"/>
    <x v="10"/>
    <n v="11"/>
    <x v="10"/>
    <s v="123 11th Street"/>
    <x v="9"/>
    <x v="9"/>
    <n v="99999"/>
    <s v="USA"/>
    <x v="5"/>
    <x v="3"/>
    <m/>
    <s v="Shipping Company C"/>
    <s v="Peter Krschne"/>
    <s v="123 11th Street"/>
    <x v="9"/>
    <s v="FL"/>
    <n v="99999"/>
    <s v="USA"/>
    <m/>
    <x v="10"/>
    <x v="0"/>
    <n v="2.99"/>
    <n v="49"/>
    <x v="20"/>
    <n v="15.090530000000005"/>
  </r>
  <r>
    <n v="1022"/>
    <x v="11"/>
    <n v="1"/>
    <x v="11"/>
    <s v="123 1st Street"/>
    <x v="10"/>
    <x v="10"/>
    <n v="99999"/>
    <s v="USA"/>
    <x v="2"/>
    <x v="2"/>
    <m/>
    <m/>
    <s v="Anna Bedecs"/>
    <s v="123 1st Street"/>
    <x v="10"/>
    <s v="WA"/>
    <n v="99999"/>
    <s v="USA"/>
    <m/>
    <x v="4"/>
    <x v="0"/>
    <n v="18"/>
    <n v="42"/>
    <x v="21"/>
    <n v="75.600000000000009"/>
  </r>
  <r>
    <n v="1023"/>
    <x v="11"/>
    <n v="1"/>
    <x v="11"/>
    <s v="123 1st Street"/>
    <x v="10"/>
    <x v="10"/>
    <n v="99999"/>
    <s v="USA"/>
    <x v="2"/>
    <x v="2"/>
    <m/>
    <m/>
    <s v="Anna Bedecs"/>
    <s v="123 1st Street"/>
    <x v="10"/>
    <s v="WA"/>
    <n v="99999"/>
    <s v="USA"/>
    <m/>
    <x v="5"/>
    <x v="0"/>
    <n v="46"/>
    <n v="58"/>
    <x v="22"/>
    <n v="269.46800000000002"/>
  </r>
  <r>
    <n v="1024"/>
    <x v="11"/>
    <n v="1"/>
    <x v="11"/>
    <s v="123 1st Street"/>
    <x v="10"/>
    <x v="10"/>
    <n v="99999"/>
    <s v="USA"/>
    <x v="2"/>
    <x v="2"/>
    <m/>
    <m/>
    <s v="Anna Bedecs"/>
    <s v="123 1st Street"/>
    <x v="10"/>
    <s v="WA"/>
    <n v="99999"/>
    <s v="USA"/>
    <m/>
    <x v="10"/>
    <x v="0"/>
    <n v="2.99"/>
    <n v="67"/>
    <x v="23"/>
    <n v="20.033000000000001"/>
  </r>
  <r>
    <n v="1025"/>
    <x v="7"/>
    <n v="28"/>
    <x v="7"/>
    <s v="789 28th Street"/>
    <x v="6"/>
    <x v="6"/>
    <n v="99999"/>
    <s v="USA"/>
    <x v="5"/>
    <x v="3"/>
    <d v="2014-01-30T00:00:00"/>
    <s v="Shipping Company C"/>
    <s v="Amritansh Raghav"/>
    <s v="789 28th Street"/>
    <x v="6"/>
    <s v="TN"/>
    <n v="99999"/>
    <s v="USA"/>
    <s v="Credit Card"/>
    <x v="8"/>
    <x v="4"/>
    <n v="9.65"/>
    <n v="100"/>
    <x v="24"/>
    <n v="93.605000000000004"/>
  </r>
  <r>
    <n v="1026"/>
    <x v="7"/>
    <n v="28"/>
    <x v="7"/>
    <s v="789 28th Street"/>
    <x v="6"/>
    <x v="6"/>
    <n v="99999"/>
    <s v="USA"/>
    <x v="5"/>
    <x v="3"/>
    <d v="2014-01-30T00:00:00"/>
    <s v="Shipping Company C"/>
    <s v="Amritansh Raghav"/>
    <s v="789 28th Street"/>
    <x v="6"/>
    <s v="TN"/>
    <n v="99999"/>
    <s v="USA"/>
    <s v="Credit Card"/>
    <x v="13"/>
    <x v="8"/>
    <n v="18.399999999999999"/>
    <n v="63"/>
    <x v="25"/>
    <n v="114.76079999999999"/>
  </r>
  <r>
    <n v="1027"/>
    <x v="12"/>
    <n v="9"/>
    <x v="12"/>
    <s v="123 9th Street"/>
    <x v="11"/>
    <x v="11"/>
    <n v="99999"/>
    <s v="USA"/>
    <x v="7"/>
    <x v="0"/>
    <d v="2014-01-11T00:00:00"/>
    <s v="Shipping Company A"/>
    <s v="Sven Mortensen"/>
    <s v="123 9th Street"/>
    <x v="11"/>
    <s v="UT"/>
    <n v="99999"/>
    <s v="USA"/>
    <s v="Check"/>
    <x v="14"/>
    <x v="9"/>
    <n v="19.5"/>
    <n v="57"/>
    <x v="26"/>
    <n v="110.0385"/>
  </r>
  <r>
    <n v="1028"/>
    <x v="12"/>
    <n v="9"/>
    <x v="12"/>
    <s v="123 9th Street"/>
    <x v="11"/>
    <x v="11"/>
    <n v="99999"/>
    <s v="USA"/>
    <x v="7"/>
    <x v="0"/>
    <d v="2014-01-11T00:00:00"/>
    <s v="Shipping Company A"/>
    <s v="Sven Mortensen"/>
    <s v="123 9th Street"/>
    <x v="11"/>
    <s v="UT"/>
    <n v="99999"/>
    <s v="USA"/>
    <s v="Check"/>
    <x v="15"/>
    <x v="10"/>
    <n v="34.799999999999997"/>
    <n v="81"/>
    <x v="27"/>
    <n v="295.97399999999999"/>
  </r>
  <r>
    <n v="1029"/>
    <x v="6"/>
    <n v="6"/>
    <x v="6"/>
    <s v="123 6th Street"/>
    <x v="5"/>
    <x v="5"/>
    <n v="99999"/>
    <s v="USA"/>
    <x v="4"/>
    <x v="2"/>
    <d v="2014-01-08T00:00:00"/>
    <s v="Shipping Company B"/>
    <s v="Francisco Pérez-Olaeta"/>
    <s v="123 6th Street"/>
    <x v="5"/>
    <s v="WI"/>
    <n v="99999"/>
    <s v="USA"/>
    <s v="Credit Card"/>
    <x v="0"/>
    <x v="0"/>
    <n v="14"/>
    <n v="71"/>
    <x v="28"/>
    <n v="95.424000000000007"/>
  </r>
  <r>
    <n v="1030"/>
    <x v="13"/>
    <n v="8"/>
    <x v="3"/>
    <s v="123 8th Street"/>
    <x v="2"/>
    <x v="2"/>
    <n v="99999"/>
    <s v="USA"/>
    <x v="2"/>
    <x v="2"/>
    <d v="2014-02-10T00:00:00"/>
    <s v="Shipping Company B"/>
    <s v="Elizabeth Andersen"/>
    <s v="123 8th Street"/>
    <x v="2"/>
    <s v="OR"/>
    <n v="99999"/>
    <s v="USA"/>
    <s v="Check"/>
    <x v="9"/>
    <x v="5"/>
    <n v="40"/>
    <n v="32"/>
    <x v="11"/>
    <n v="129.28"/>
  </r>
  <r>
    <n v="1031"/>
    <x v="14"/>
    <n v="3"/>
    <x v="5"/>
    <s v="123 3rd Street"/>
    <x v="4"/>
    <x v="4"/>
    <n v="99999"/>
    <s v="USA"/>
    <x v="0"/>
    <x v="0"/>
    <d v="2014-02-05T00:00:00"/>
    <s v="Shipping Company B"/>
    <s v="Thomas Axerr"/>
    <s v="123 3rd Street"/>
    <x v="4"/>
    <s v="CA"/>
    <n v="99999"/>
    <s v="USA"/>
    <s v="Cash"/>
    <x v="16"/>
    <x v="7"/>
    <n v="10"/>
    <n v="63"/>
    <x v="29"/>
    <n v="65.52"/>
  </r>
  <r>
    <n v="1032"/>
    <x v="14"/>
    <n v="3"/>
    <x v="5"/>
    <s v="123 3rd Street"/>
    <x v="4"/>
    <x v="4"/>
    <n v="99999"/>
    <s v="USA"/>
    <x v="0"/>
    <x v="0"/>
    <d v="2014-02-05T00:00:00"/>
    <s v="Shipping Company B"/>
    <s v="Thomas Axerr"/>
    <s v="123 3rd Street"/>
    <x v="4"/>
    <s v="CA"/>
    <n v="99999"/>
    <s v="USA"/>
    <s v="Cash"/>
    <x v="9"/>
    <x v="5"/>
    <n v="40"/>
    <n v="30"/>
    <x v="30"/>
    <n v="120"/>
  </r>
  <r>
    <n v="1033"/>
    <x v="15"/>
    <n v="6"/>
    <x v="6"/>
    <s v="123 6th Street"/>
    <x v="5"/>
    <x v="5"/>
    <n v="99999"/>
    <s v="USA"/>
    <x v="4"/>
    <x v="2"/>
    <d v="2014-02-08T00:00:00"/>
    <s v="Shipping Company B"/>
    <s v="Francisco Pérez-Olaeta"/>
    <s v="123 6th Street"/>
    <x v="5"/>
    <s v="WI"/>
    <n v="99999"/>
    <s v="USA"/>
    <s v="Credit Card"/>
    <x v="17"/>
    <x v="11"/>
    <m/>
    <m/>
    <x v="31"/>
    <n v="43"/>
  </r>
  <r>
    <n v="1034"/>
    <x v="16"/>
    <n v="28"/>
    <x v="7"/>
    <s v="789 28th Street"/>
    <x v="6"/>
    <x v="6"/>
    <n v="99999"/>
    <s v="USA"/>
    <x v="5"/>
    <x v="3"/>
    <d v="2014-03-02T00:00:00"/>
    <s v="Shipping Company C"/>
    <s v="Amritansh Raghav"/>
    <s v="789 28th Street"/>
    <x v="6"/>
    <s v="TN"/>
    <n v="99999"/>
    <s v="USA"/>
    <s v="Check"/>
    <x v="17"/>
    <x v="11"/>
    <m/>
    <m/>
    <x v="31"/>
    <n v="31"/>
  </r>
  <r>
    <n v="1035"/>
    <x v="13"/>
    <n v="8"/>
    <x v="3"/>
    <s v="123 8th Street"/>
    <x v="2"/>
    <x v="2"/>
    <n v="99999"/>
    <s v="USA"/>
    <x v="2"/>
    <x v="2"/>
    <d v="2014-02-10T00:00:00"/>
    <s v="Shipping Company C"/>
    <s v="Elizabeth Andersen"/>
    <s v="123 8th Street"/>
    <x v="2"/>
    <s v="OR"/>
    <n v="99999"/>
    <s v="USA"/>
    <s v="Check"/>
    <x v="17"/>
    <x v="11"/>
    <m/>
    <m/>
    <x v="31"/>
    <n v="46"/>
  </r>
  <r>
    <n v="1036"/>
    <x v="17"/>
    <n v="10"/>
    <x v="8"/>
    <s v="123 10th Street"/>
    <x v="7"/>
    <x v="7"/>
    <n v="99999"/>
    <s v="USA"/>
    <x v="6"/>
    <x v="1"/>
    <d v="2014-02-12T00:00:00"/>
    <s v="Shipping Company B"/>
    <s v="Roland Wacker"/>
    <s v="123 10th Street"/>
    <x v="7"/>
    <s v="IL"/>
    <n v="99999"/>
    <s v="USA"/>
    <s v="Credit Card"/>
    <x v="18"/>
    <x v="1"/>
    <n v="10"/>
    <n v="47"/>
    <x v="32"/>
    <n v="48.88"/>
  </r>
  <r>
    <n v="1038"/>
    <x v="17"/>
    <n v="10"/>
    <x v="8"/>
    <s v="123 10th Street"/>
    <x v="7"/>
    <x v="7"/>
    <n v="99999"/>
    <s v="USA"/>
    <x v="6"/>
    <x v="1"/>
    <m/>
    <s v="Shipping Company A"/>
    <s v="Roland Wacker"/>
    <s v="123 10th Street"/>
    <x v="7"/>
    <s v="IL"/>
    <n v="99999"/>
    <s v="USA"/>
    <m/>
    <x v="1"/>
    <x v="1"/>
    <n v="3.5"/>
    <n v="49"/>
    <x v="33"/>
    <n v="16.464000000000002"/>
  </r>
  <r>
    <n v="1039"/>
    <x v="18"/>
    <n v="11"/>
    <x v="10"/>
    <s v="123 11th Street"/>
    <x v="9"/>
    <x v="9"/>
    <n v="99999"/>
    <s v="USA"/>
    <x v="5"/>
    <x v="3"/>
    <m/>
    <s v="Shipping Company C"/>
    <s v="Peter Krschne"/>
    <s v="123 11th Street"/>
    <x v="9"/>
    <s v="FL"/>
    <n v="99999"/>
    <s v="USA"/>
    <m/>
    <x v="9"/>
    <x v="5"/>
    <n v="40"/>
    <n v="72"/>
    <x v="34"/>
    <n v="285.12"/>
  </r>
  <r>
    <n v="1040"/>
    <x v="19"/>
    <n v="1"/>
    <x v="11"/>
    <s v="123 1st Street"/>
    <x v="10"/>
    <x v="10"/>
    <n v="99999"/>
    <s v="USA"/>
    <x v="2"/>
    <x v="2"/>
    <m/>
    <s v="Shipping Company C"/>
    <s v="Anna Bedecs"/>
    <s v="123 1st Street"/>
    <x v="10"/>
    <s v="WA"/>
    <n v="99999"/>
    <s v="USA"/>
    <m/>
    <x v="13"/>
    <x v="8"/>
    <n v="18.399999999999999"/>
    <n v="13"/>
    <x v="35"/>
    <n v="23.680800000000001"/>
  </r>
  <r>
    <n v="1041"/>
    <x v="16"/>
    <n v="28"/>
    <x v="7"/>
    <s v="789 28th Street"/>
    <x v="6"/>
    <x v="6"/>
    <n v="99999"/>
    <s v="USA"/>
    <x v="5"/>
    <x v="3"/>
    <n v="41700"/>
    <s v="Shipping Company C"/>
    <s v="Amritansh Raghav"/>
    <s v="789 28th Street"/>
    <x v="6"/>
    <s v="TN"/>
    <n v="99999"/>
    <s v="USA"/>
    <s v="Credit Card"/>
    <x v="5"/>
    <x v="0"/>
    <n v="46"/>
    <n v="32"/>
    <x v="36"/>
    <n v="148.67200000000003"/>
  </r>
  <r>
    <n v="1042"/>
    <x v="20"/>
    <n v="9"/>
    <x v="12"/>
    <s v="123 9th Street"/>
    <x v="11"/>
    <x v="11"/>
    <n v="99999"/>
    <s v="USA"/>
    <x v="7"/>
    <x v="0"/>
    <d v="2014-02-11T00:00:00"/>
    <s v="Shipping Company A"/>
    <s v="Sven Mortensen"/>
    <s v="123 9th Street"/>
    <x v="11"/>
    <s v="UT"/>
    <n v="99999"/>
    <s v="USA"/>
    <s v="Check"/>
    <x v="8"/>
    <x v="4"/>
    <n v="9.65"/>
    <n v="27"/>
    <x v="37"/>
    <n v="24.752250000000004"/>
  </r>
  <r>
    <n v="1043"/>
    <x v="15"/>
    <n v="6"/>
    <x v="6"/>
    <s v="123 6th Street"/>
    <x v="5"/>
    <x v="5"/>
    <n v="99999"/>
    <s v="USA"/>
    <x v="4"/>
    <x v="2"/>
    <d v="2014-02-08T00:00:00"/>
    <s v="Shipping Company B"/>
    <s v="Francisco Pérez-Olaeta"/>
    <s v="123 6th Street"/>
    <x v="5"/>
    <s v="WI"/>
    <n v="99999"/>
    <s v="USA"/>
    <s v="Credit Card"/>
    <x v="7"/>
    <x v="3"/>
    <n v="12.75"/>
    <n v="71"/>
    <x v="38"/>
    <n v="91.430250000000001"/>
  </r>
  <r>
    <n v="1044"/>
    <x v="13"/>
    <n v="8"/>
    <x v="3"/>
    <s v="123 8th Street"/>
    <x v="2"/>
    <x v="2"/>
    <n v="99999"/>
    <s v="USA"/>
    <x v="2"/>
    <x v="2"/>
    <d v="2014-02-10T00:00:00"/>
    <s v="Shipping Company B"/>
    <s v="Elizabeth Andersen"/>
    <s v="123 8th Street"/>
    <x v="2"/>
    <s v="OR"/>
    <n v="99999"/>
    <s v="USA"/>
    <s v="Check"/>
    <x v="7"/>
    <x v="3"/>
    <n v="12.75"/>
    <n v="13"/>
    <x v="39"/>
    <n v="15.746249999999998"/>
  </r>
  <r>
    <n v="1045"/>
    <x v="21"/>
    <n v="25"/>
    <x v="13"/>
    <s v="789 25th Street"/>
    <x v="7"/>
    <x v="7"/>
    <n v="99999"/>
    <s v="USA"/>
    <x v="6"/>
    <x v="1"/>
    <d v="2014-02-27T00:00:00"/>
    <s v="Shipping Company A"/>
    <s v="John Rodman"/>
    <s v="789 25th Street"/>
    <x v="7"/>
    <s v="IL"/>
    <n v="99999"/>
    <s v="USA"/>
    <s v="Cash"/>
    <x v="12"/>
    <x v="7"/>
    <n v="22"/>
    <n v="98"/>
    <x v="40"/>
    <n v="204.82000000000002"/>
  </r>
  <r>
    <n v="1046"/>
    <x v="22"/>
    <n v="26"/>
    <x v="14"/>
    <s v="789 26th Street"/>
    <x v="9"/>
    <x v="9"/>
    <n v="99999"/>
    <s v="USA"/>
    <x v="5"/>
    <x v="3"/>
    <d v="2014-02-28T00:00:00"/>
    <s v="Shipping Company C"/>
    <s v="Run Liu"/>
    <s v="789 26th Street"/>
    <x v="9"/>
    <s v="FL"/>
    <n v="99999"/>
    <s v="USA"/>
    <s v="Credit Card"/>
    <x v="11"/>
    <x v="6"/>
    <n v="25"/>
    <n v="21"/>
    <x v="41"/>
    <n v="53.550000000000004"/>
  </r>
  <r>
    <n v="1047"/>
    <x v="23"/>
    <n v="29"/>
    <x v="4"/>
    <s v="789 29th Street"/>
    <x v="3"/>
    <x v="3"/>
    <n v="99999"/>
    <s v="USA"/>
    <x v="3"/>
    <x v="0"/>
    <d v="2014-03-03T00:00:00"/>
    <s v="Shipping Company B"/>
    <s v="Soo Jung Lee"/>
    <s v="789 29th Street"/>
    <x v="3"/>
    <s v="CO"/>
    <n v="99999"/>
    <s v="USA"/>
    <s v="Check"/>
    <x v="19"/>
    <x v="12"/>
    <n v="39"/>
    <n v="26"/>
    <x v="42"/>
    <n v="106.47000000000001"/>
  </r>
  <r>
    <n v="1048"/>
    <x v="15"/>
    <n v="6"/>
    <x v="6"/>
    <s v="123 6th Street"/>
    <x v="5"/>
    <x v="5"/>
    <n v="99999"/>
    <s v="USA"/>
    <x v="4"/>
    <x v="2"/>
    <d v="2014-02-08T00:00:00"/>
    <s v="Shipping Company C"/>
    <s v="Francisco Pérez-Olaeta"/>
    <s v="123 6th Street"/>
    <x v="5"/>
    <s v="WI"/>
    <n v="99999"/>
    <s v="USA"/>
    <s v="Check"/>
    <x v="2"/>
    <x v="1"/>
    <n v="30"/>
    <n v="96"/>
    <x v="34"/>
    <n v="296.64"/>
  </r>
  <r>
    <n v="1049"/>
    <x v="15"/>
    <n v="6"/>
    <x v="6"/>
    <s v="123 6th Street"/>
    <x v="5"/>
    <x v="5"/>
    <n v="99999"/>
    <s v="USA"/>
    <x v="4"/>
    <x v="2"/>
    <d v="2014-02-08T00:00:00"/>
    <s v="Shipping Company C"/>
    <s v="Francisco Pérez-Olaeta"/>
    <s v="123 6th Street"/>
    <x v="5"/>
    <s v="WI"/>
    <n v="99999"/>
    <s v="USA"/>
    <s v="Check"/>
    <x v="3"/>
    <x v="1"/>
    <n v="53"/>
    <n v="16"/>
    <x v="43"/>
    <n v="88.192000000000021"/>
  </r>
  <r>
    <n v="1050"/>
    <x v="24"/>
    <n v="4"/>
    <x v="1"/>
    <s v="123 4th Street"/>
    <x v="1"/>
    <x v="1"/>
    <n v="99999"/>
    <s v="USA"/>
    <x v="1"/>
    <x v="1"/>
    <m/>
    <m/>
    <s v="Christina Lee"/>
    <s v="123 4th Street"/>
    <x v="1"/>
    <s v="NY"/>
    <n v="99999"/>
    <s v="USA"/>
    <m/>
    <x v="20"/>
    <x v="9"/>
    <n v="38"/>
    <n v="96"/>
    <x v="44"/>
    <n v="346.56"/>
  </r>
  <r>
    <n v="1051"/>
    <x v="14"/>
    <n v="3"/>
    <x v="5"/>
    <s v="123 3rd Street"/>
    <x v="4"/>
    <x v="4"/>
    <n v="99999"/>
    <s v="USA"/>
    <x v="0"/>
    <x v="0"/>
    <m/>
    <m/>
    <s v="Thomas Axerr"/>
    <s v="123 3rd Street"/>
    <x v="4"/>
    <s v="CA"/>
    <n v="99999"/>
    <s v="USA"/>
    <m/>
    <x v="10"/>
    <x v="0"/>
    <n v="2.99"/>
    <n v="75"/>
    <x v="45"/>
    <n v="23.097750000000005"/>
  </r>
  <r>
    <n v="1052"/>
    <x v="25"/>
    <n v="9"/>
    <x v="12"/>
    <s v="123 9th Street"/>
    <x v="11"/>
    <x v="11"/>
    <n v="99999"/>
    <s v="USA"/>
    <x v="7"/>
    <x v="0"/>
    <n v="41709"/>
    <s v="Shipping Company A"/>
    <s v="Sven Mortensen"/>
    <s v="123 9th Street"/>
    <x v="11"/>
    <s v="UT"/>
    <n v="99999"/>
    <s v="USA"/>
    <s v="Check"/>
    <x v="14"/>
    <x v="9"/>
    <n v="19.5"/>
    <n v="55"/>
    <x v="46"/>
    <n v="108.32250000000001"/>
  </r>
  <r>
    <n v="1053"/>
    <x v="25"/>
    <n v="9"/>
    <x v="12"/>
    <s v="123 9th Street"/>
    <x v="11"/>
    <x v="11"/>
    <n v="99999"/>
    <s v="USA"/>
    <x v="7"/>
    <x v="0"/>
    <d v="2014-03-11T00:00:00"/>
    <s v="Shipping Company A"/>
    <s v="Sven Mortensen"/>
    <s v="123 9th Street"/>
    <x v="11"/>
    <s v="UT"/>
    <n v="99999"/>
    <s v="USA"/>
    <s v="Check"/>
    <x v="15"/>
    <x v="10"/>
    <n v="34.799999999999997"/>
    <n v="11"/>
    <x v="47"/>
    <n v="36.748799999999996"/>
  </r>
  <r>
    <n v="1054"/>
    <x v="26"/>
    <n v="6"/>
    <x v="6"/>
    <s v="123 6th Street"/>
    <x v="5"/>
    <x v="5"/>
    <n v="99999"/>
    <s v="USA"/>
    <x v="4"/>
    <x v="2"/>
    <d v="2014-03-08T00:00:00"/>
    <s v="Shipping Company B"/>
    <s v="Francisco Pérez-Olaeta"/>
    <s v="123 6th Street"/>
    <x v="5"/>
    <s v="WI"/>
    <n v="99999"/>
    <s v="USA"/>
    <s v="Credit Card"/>
    <x v="0"/>
    <x v="0"/>
    <n v="14"/>
    <n v="53"/>
    <x v="48"/>
    <n v="71.974000000000004"/>
  </r>
  <r>
    <n v="1055"/>
    <x v="27"/>
    <n v="8"/>
    <x v="3"/>
    <s v="123 8th Street"/>
    <x v="2"/>
    <x v="2"/>
    <n v="99999"/>
    <s v="USA"/>
    <x v="2"/>
    <x v="2"/>
    <d v="2014-03-10T00:00:00"/>
    <s v="Shipping Company B"/>
    <s v="Elizabeth Andersen"/>
    <s v="123 8th Street"/>
    <x v="2"/>
    <s v="OR"/>
    <n v="99999"/>
    <s v="USA"/>
    <s v="Check"/>
    <x v="9"/>
    <x v="5"/>
    <n v="40"/>
    <n v="85"/>
    <x v="49"/>
    <n v="357"/>
  </r>
  <r>
    <n v="1056"/>
    <x v="27"/>
    <n v="8"/>
    <x v="3"/>
    <s v="123 8th Street"/>
    <x v="2"/>
    <x v="2"/>
    <n v="99999"/>
    <s v="USA"/>
    <x v="2"/>
    <x v="2"/>
    <d v="2014-03-10T00:00:00"/>
    <s v="Shipping Company B"/>
    <s v="Elizabeth Andersen"/>
    <s v="123 8th Street"/>
    <x v="2"/>
    <s v="OR"/>
    <n v="99999"/>
    <s v="USA"/>
    <s v="Check"/>
    <x v="6"/>
    <x v="2"/>
    <n v="9.1999999999999993"/>
    <n v="97"/>
    <x v="50"/>
    <n v="91.024800000000013"/>
  </r>
  <r>
    <n v="1057"/>
    <x v="28"/>
    <n v="25"/>
    <x v="13"/>
    <s v="789 25th Street"/>
    <x v="7"/>
    <x v="7"/>
    <n v="99999"/>
    <s v="USA"/>
    <x v="6"/>
    <x v="1"/>
    <d v="2014-03-27T00:00:00"/>
    <s v="Shipping Company A"/>
    <s v="John Rodman"/>
    <s v="789 25th Street"/>
    <x v="7"/>
    <s v="IL"/>
    <n v="99999"/>
    <s v="USA"/>
    <s v="Cash"/>
    <x v="21"/>
    <x v="2"/>
    <n v="10"/>
    <n v="46"/>
    <x v="51"/>
    <n v="46.46"/>
  </r>
  <r>
    <n v="1058"/>
    <x v="29"/>
    <n v="26"/>
    <x v="14"/>
    <s v="789 26th Street"/>
    <x v="9"/>
    <x v="9"/>
    <n v="99999"/>
    <s v="USA"/>
    <x v="5"/>
    <x v="3"/>
    <d v="2014-03-28T00:00:00"/>
    <s v="Shipping Company C"/>
    <s v="Run Liu"/>
    <s v="789 26th Street"/>
    <x v="9"/>
    <s v="FL"/>
    <n v="99999"/>
    <s v="USA"/>
    <s v="Credit Card"/>
    <x v="22"/>
    <x v="13"/>
    <n v="21.35"/>
    <n v="97"/>
    <x v="52"/>
    <n v="196.74025"/>
  </r>
  <r>
    <n v="1059"/>
    <x v="29"/>
    <n v="26"/>
    <x v="14"/>
    <s v="789 26th Street"/>
    <x v="9"/>
    <x v="9"/>
    <n v="99999"/>
    <s v="USA"/>
    <x v="5"/>
    <x v="3"/>
    <d v="2014-03-28T00:00:00"/>
    <s v="Shipping Company C"/>
    <s v="Run Liu"/>
    <s v="789 26th Street"/>
    <x v="9"/>
    <s v="FL"/>
    <n v="99999"/>
    <s v="USA"/>
    <s v="Credit Card"/>
    <x v="8"/>
    <x v="4"/>
    <n v="9.65"/>
    <n v="97"/>
    <x v="53"/>
    <n v="95.477100000000021"/>
  </r>
  <r>
    <n v="1060"/>
    <x v="29"/>
    <n v="26"/>
    <x v="14"/>
    <s v="789 26th Street"/>
    <x v="9"/>
    <x v="9"/>
    <n v="99999"/>
    <s v="USA"/>
    <x v="5"/>
    <x v="3"/>
    <d v="2014-03-28T00:00:00"/>
    <s v="Shipping Company C"/>
    <s v="Run Liu"/>
    <s v="789 26th Street"/>
    <x v="9"/>
    <s v="FL"/>
    <n v="99999"/>
    <s v="USA"/>
    <s v="Credit Card"/>
    <x v="13"/>
    <x v="8"/>
    <n v="18.399999999999999"/>
    <n v="65"/>
    <x v="54"/>
    <n v="123.18800000000002"/>
  </r>
  <r>
    <n v="1061"/>
    <x v="30"/>
    <n v="29"/>
    <x v="4"/>
    <s v="789 29th Street"/>
    <x v="3"/>
    <x v="3"/>
    <n v="99999"/>
    <s v="USA"/>
    <x v="3"/>
    <x v="0"/>
    <d v="2014-03-31T00:00:00"/>
    <s v="Shipping Company B"/>
    <s v="Soo Jung Lee"/>
    <s v="789 29th Street"/>
    <x v="3"/>
    <s v="CO"/>
    <n v="99999"/>
    <s v="USA"/>
    <s v="Check"/>
    <x v="0"/>
    <x v="0"/>
    <n v="14"/>
    <n v="72"/>
    <x v="55"/>
    <n v="100.80000000000001"/>
  </r>
  <r>
    <n v="1062"/>
    <x v="26"/>
    <n v="6"/>
    <x v="6"/>
    <s v="123 6th Street"/>
    <x v="5"/>
    <x v="5"/>
    <n v="99999"/>
    <s v="USA"/>
    <x v="4"/>
    <x v="2"/>
    <d v="2014-03-08T00:00:00"/>
    <s v="Shipping Company C"/>
    <s v="Francisco Pérez-Olaeta"/>
    <s v="123 6th Street"/>
    <x v="5"/>
    <s v="WI"/>
    <n v="99999"/>
    <s v="USA"/>
    <s v="Check"/>
    <x v="7"/>
    <x v="3"/>
    <n v="12.75"/>
    <n v="16"/>
    <x v="56"/>
    <n v="20.196000000000002"/>
  </r>
  <r>
    <n v="1064"/>
    <x v="31"/>
    <n v="4"/>
    <x v="1"/>
    <s v="123 4th Street"/>
    <x v="1"/>
    <x v="1"/>
    <n v="99999"/>
    <s v="USA"/>
    <x v="1"/>
    <x v="1"/>
    <d v="2014-03-06T00:00:00"/>
    <s v="Shipping Company A"/>
    <s v="Christina Lee"/>
    <s v="123 4th Street"/>
    <x v="1"/>
    <s v="NY"/>
    <n v="99999"/>
    <s v="USA"/>
    <s v="Credit Card"/>
    <x v="23"/>
    <x v="6"/>
    <n v="81"/>
    <n v="77"/>
    <x v="57"/>
    <n v="642.41100000000006"/>
  </r>
  <r>
    <n v="1065"/>
    <x v="31"/>
    <n v="4"/>
    <x v="1"/>
    <s v="123 4th Street"/>
    <x v="1"/>
    <x v="1"/>
    <n v="99999"/>
    <s v="USA"/>
    <x v="1"/>
    <x v="1"/>
    <d v="2014-03-06T00:00:00"/>
    <s v="Shipping Company A"/>
    <s v="Christina Lee"/>
    <s v="123 4th Street"/>
    <x v="1"/>
    <s v="NY"/>
    <n v="99999"/>
    <s v="USA"/>
    <s v="Credit Card"/>
    <x v="24"/>
    <x v="14"/>
    <n v="7"/>
    <n v="37"/>
    <x v="58"/>
    <n v="24.605"/>
  </r>
  <r>
    <n v="1067"/>
    <x v="27"/>
    <n v="8"/>
    <x v="3"/>
    <s v="123 8th Street"/>
    <x v="2"/>
    <x v="2"/>
    <n v="99999"/>
    <s v="USA"/>
    <x v="2"/>
    <x v="2"/>
    <d v="2014-03-10T00:00:00"/>
    <s v="Shipping Company C"/>
    <s v="Elizabeth Andersen"/>
    <s v="123 8th Street"/>
    <x v="2"/>
    <s v="OR"/>
    <n v="99999"/>
    <s v="USA"/>
    <s v="Credit Card"/>
    <x v="15"/>
    <x v="10"/>
    <n v="34.799999999999997"/>
    <n v="63"/>
    <x v="59"/>
    <n v="217.04759999999999"/>
  </r>
  <r>
    <n v="1070"/>
    <x v="32"/>
    <n v="3"/>
    <x v="5"/>
    <s v="123 3rd Street"/>
    <x v="4"/>
    <x v="4"/>
    <n v="99999"/>
    <s v="USA"/>
    <x v="0"/>
    <x v="0"/>
    <d v="2014-03-05T00:00:00"/>
    <s v="Shipping Company B"/>
    <s v="Thomas Axerr"/>
    <s v="123 3rd Street"/>
    <x v="4"/>
    <s v="CA"/>
    <n v="99999"/>
    <s v="USA"/>
    <s v="Cash"/>
    <x v="16"/>
    <x v="7"/>
    <n v="10"/>
    <n v="48"/>
    <x v="60"/>
    <n v="48"/>
  </r>
  <r>
    <n v="1071"/>
    <x v="32"/>
    <n v="3"/>
    <x v="5"/>
    <s v="123 3rd Street"/>
    <x v="4"/>
    <x v="4"/>
    <n v="99999"/>
    <s v="USA"/>
    <x v="0"/>
    <x v="0"/>
    <d v="2014-03-05T00:00:00"/>
    <s v="Shipping Company B"/>
    <s v="Thomas Axerr"/>
    <s v="123 3rd Street"/>
    <x v="4"/>
    <s v="CA"/>
    <n v="99999"/>
    <s v="USA"/>
    <s v="Cash"/>
    <x v="9"/>
    <x v="5"/>
    <n v="40"/>
    <n v="71"/>
    <x v="61"/>
    <n v="295.36"/>
  </r>
  <r>
    <n v="1075"/>
    <x v="33"/>
    <n v="10"/>
    <x v="8"/>
    <s v="123 10th Street"/>
    <x v="7"/>
    <x v="7"/>
    <n v="99999"/>
    <s v="USA"/>
    <x v="6"/>
    <x v="1"/>
    <d v="2014-03-12T00:00:00"/>
    <s v="Shipping Company B"/>
    <s v="Roland Wacker"/>
    <s v="123 10th Street"/>
    <x v="7"/>
    <s v="IL"/>
    <n v="99999"/>
    <s v="USA"/>
    <s v="Credit Card"/>
    <x v="18"/>
    <x v="1"/>
    <n v="10"/>
    <n v="55"/>
    <x v="62"/>
    <n v="55"/>
  </r>
  <r>
    <n v="1077"/>
    <x v="33"/>
    <n v="10"/>
    <x v="8"/>
    <s v="123 10th Street"/>
    <x v="7"/>
    <x v="7"/>
    <n v="99999"/>
    <s v="USA"/>
    <x v="6"/>
    <x v="1"/>
    <m/>
    <s v="Shipping Company A"/>
    <s v="Roland Wacker"/>
    <s v="123 10th Street"/>
    <x v="7"/>
    <s v="IL"/>
    <n v="99999"/>
    <s v="USA"/>
    <m/>
    <x v="1"/>
    <x v="1"/>
    <n v="3.5"/>
    <n v="21"/>
    <x v="63"/>
    <n v="7.3500000000000005"/>
  </r>
  <r>
    <n v="1078"/>
    <x v="34"/>
    <n v="11"/>
    <x v="10"/>
    <s v="123 11th Street"/>
    <x v="9"/>
    <x v="9"/>
    <n v="99999"/>
    <s v="USA"/>
    <x v="5"/>
    <x v="3"/>
    <m/>
    <s v="Shipping Company C"/>
    <s v="Peter Krschne"/>
    <s v="123 11th Street"/>
    <x v="9"/>
    <s v="FL"/>
    <n v="99999"/>
    <s v="USA"/>
    <m/>
    <x v="9"/>
    <x v="5"/>
    <n v="40"/>
    <n v="67"/>
    <x v="64"/>
    <n v="270.68"/>
  </r>
  <r>
    <n v="1079"/>
    <x v="23"/>
    <n v="1"/>
    <x v="11"/>
    <s v="123 1st Street"/>
    <x v="10"/>
    <x v="10"/>
    <n v="99999"/>
    <s v="USA"/>
    <x v="2"/>
    <x v="2"/>
    <m/>
    <s v="Shipping Company C"/>
    <s v="Anna Bedecs"/>
    <s v="123 1st Street"/>
    <x v="10"/>
    <s v="WA"/>
    <n v="99999"/>
    <s v="USA"/>
    <m/>
    <x v="13"/>
    <x v="8"/>
    <n v="18.399999999999999"/>
    <n v="75"/>
    <x v="65"/>
    <n v="138"/>
  </r>
  <r>
    <n v="1080"/>
    <x v="35"/>
    <n v="28"/>
    <x v="7"/>
    <s v="789 28th Street"/>
    <x v="6"/>
    <x v="6"/>
    <n v="99999"/>
    <s v="USA"/>
    <x v="5"/>
    <x v="3"/>
    <d v="2014-03-30T00:00:00"/>
    <s v="Shipping Company C"/>
    <s v="Amritansh Raghav"/>
    <s v="789 28th Street"/>
    <x v="6"/>
    <s v="TN"/>
    <n v="99999"/>
    <s v="USA"/>
    <s v="Credit Card"/>
    <x v="5"/>
    <x v="0"/>
    <n v="46"/>
    <n v="17"/>
    <x v="66"/>
    <n v="80.546000000000006"/>
  </r>
  <r>
    <n v="1081"/>
    <x v="36"/>
    <n v="4"/>
    <x v="1"/>
    <s v="123 4th Street"/>
    <x v="1"/>
    <x v="1"/>
    <n v="99999"/>
    <s v="USA"/>
    <x v="1"/>
    <x v="1"/>
    <d v="2014-04-06T00:00:00"/>
    <s v="Shipping Company A"/>
    <s v="Christina Lee"/>
    <s v="123 4th Street"/>
    <x v="1"/>
    <s v="NY"/>
    <n v="99999"/>
    <s v="USA"/>
    <s v="Credit Card"/>
    <x v="1"/>
    <x v="1"/>
    <n v="3.5"/>
    <n v="48"/>
    <x v="67"/>
    <n v="16.295999999999999"/>
  </r>
  <r>
    <n v="1082"/>
    <x v="37"/>
    <n v="12"/>
    <x v="2"/>
    <s v="123 12th Street"/>
    <x v="0"/>
    <x v="0"/>
    <n v="99999"/>
    <s v="USA"/>
    <x v="0"/>
    <x v="0"/>
    <d v="2014-04-14T00:00:00"/>
    <s v="Shipping Company B"/>
    <s v="John Edwards"/>
    <s v="123 12th Street"/>
    <x v="0"/>
    <s v="NV"/>
    <n v="99999"/>
    <s v="USA"/>
    <s v="Credit Card"/>
    <x v="4"/>
    <x v="0"/>
    <n v="18"/>
    <n v="74"/>
    <x v="68"/>
    <n v="137.19600000000003"/>
  </r>
  <r>
    <n v="1083"/>
    <x v="37"/>
    <n v="12"/>
    <x v="2"/>
    <s v="123 12th Street"/>
    <x v="0"/>
    <x v="0"/>
    <n v="99999"/>
    <s v="USA"/>
    <x v="0"/>
    <x v="0"/>
    <d v="2014-04-14T00:00:00"/>
    <s v="Shipping Company B"/>
    <s v="John Edwards"/>
    <s v="123 12th Street"/>
    <x v="0"/>
    <s v="NV"/>
    <n v="99999"/>
    <s v="USA"/>
    <s v="Credit Card"/>
    <x v="5"/>
    <x v="0"/>
    <n v="46"/>
    <n v="96"/>
    <x v="69"/>
    <n v="428.35200000000003"/>
  </r>
  <r>
    <n v="1084"/>
    <x v="38"/>
    <n v="8"/>
    <x v="3"/>
    <s v="123 8th Street"/>
    <x v="2"/>
    <x v="2"/>
    <n v="99999"/>
    <s v="USA"/>
    <x v="2"/>
    <x v="2"/>
    <d v="2014-04-10T00:00:00"/>
    <s v="Shipping Company C"/>
    <s v="Elizabeth Andersen"/>
    <s v="123 8th Street"/>
    <x v="2"/>
    <s v="OR"/>
    <n v="99999"/>
    <s v="USA"/>
    <s v="Credit Card"/>
    <x v="6"/>
    <x v="2"/>
    <n v="9.1999999999999993"/>
    <n v="12"/>
    <x v="70"/>
    <n v="11.3712"/>
  </r>
  <r>
    <n v="1085"/>
    <x v="36"/>
    <n v="4"/>
    <x v="1"/>
    <s v="123 4th Street"/>
    <x v="1"/>
    <x v="1"/>
    <n v="99999"/>
    <s v="USA"/>
    <x v="1"/>
    <x v="1"/>
    <n v="41735"/>
    <s v="Shipping Company C"/>
    <s v="Christina Lee"/>
    <s v="123 4th Street"/>
    <x v="1"/>
    <s v="NY"/>
    <n v="99999"/>
    <s v="USA"/>
    <s v="Check"/>
    <x v="6"/>
    <x v="2"/>
    <n v="9.1999999999999993"/>
    <n v="62"/>
    <x v="71"/>
    <n v="58.751199999999997"/>
  </r>
  <r>
    <n v="1086"/>
    <x v="39"/>
    <n v="29"/>
    <x v="4"/>
    <s v="789 29th Street"/>
    <x v="3"/>
    <x v="3"/>
    <n v="99999"/>
    <s v="USA"/>
    <x v="3"/>
    <x v="0"/>
    <n v="41760"/>
    <s v="Shipping Company B"/>
    <s v="Soo Jung Lee"/>
    <s v="789 29th Street"/>
    <x v="3"/>
    <s v="CO"/>
    <n v="99999"/>
    <s v="USA"/>
    <s v="Check"/>
    <x v="7"/>
    <x v="3"/>
    <n v="12.75"/>
    <n v="35"/>
    <x v="72"/>
    <n v="45.963750000000005"/>
  </r>
  <r>
    <n v="1087"/>
    <x v="40"/>
    <n v="3"/>
    <x v="5"/>
    <s v="123 3rd Street"/>
    <x v="4"/>
    <x v="4"/>
    <n v="99999"/>
    <s v="USA"/>
    <x v="0"/>
    <x v="0"/>
    <n v="41734"/>
    <s v="Shipping Company B"/>
    <s v="Thomas Axerr"/>
    <s v="123 3rd Street"/>
    <x v="4"/>
    <s v="CA"/>
    <n v="99999"/>
    <s v="USA"/>
    <s v="Cash"/>
    <x v="8"/>
    <x v="4"/>
    <n v="9.65"/>
    <n v="95"/>
    <x v="73"/>
    <n v="91.675000000000011"/>
  </r>
  <r>
    <n v="1088"/>
    <x v="41"/>
    <n v="6"/>
    <x v="6"/>
    <s v="123 6th Street"/>
    <x v="5"/>
    <x v="5"/>
    <n v="99999"/>
    <s v="USA"/>
    <x v="4"/>
    <x v="2"/>
    <n v="41737"/>
    <s v="Shipping Company B"/>
    <s v="Francisco Pérez-Olaeta"/>
    <s v="123 6th Street"/>
    <x v="5"/>
    <s v="WI"/>
    <n v="99999"/>
    <s v="USA"/>
    <s v="Credit Card"/>
    <x v="9"/>
    <x v="5"/>
    <n v="40"/>
    <n v="17"/>
    <x v="74"/>
    <n v="68.680000000000007"/>
  </r>
  <r>
    <n v="1089"/>
    <x v="42"/>
    <n v="28"/>
    <x v="7"/>
    <s v="789 28th Street"/>
    <x v="6"/>
    <x v="6"/>
    <n v="99999"/>
    <s v="USA"/>
    <x v="5"/>
    <x v="3"/>
    <d v="2014-04-30T00:00:00"/>
    <s v="Shipping Company C"/>
    <s v="Amritansh Raghav"/>
    <s v="789 28th Street"/>
    <x v="6"/>
    <s v="TN"/>
    <n v="99999"/>
    <s v="USA"/>
    <s v="Check"/>
    <x v="5"/>
    <x v="0"/>
    <n v="46"/>
    <n v="96"/>
    <x v="69"/>
    <n v="463.68000000000006"/>
  </r>
  <r>
    <n v="1090"/>
    <x v="38"/>
    <n v="8"/>
    <x v="3"/>
    <s v="123 8th Street"/>
    <x v="2"/>
    <x v="2"/>
    <n v="99999"/>
    <s v="USA"/>
    <x v="2"/>
    <x v="2"/>
    <d v="2014-04-10T00:00:00"/>
    <s v="Shipping Company C"/>
    <s v="Elizabeth Andersen"/>
    <s v="123 8th Street"/>
    <x v="2"/>
    <s v="OR"/>
    <n v="99999"/>
    <s v="USA"/>
    <s v="Check"/>
    <x v="7"/>
    <x v="3"/>
    <n v="12.75"/>
    <n v="83"/>
    <x v="75"/>
    <n v="102.65025"/>
  </r>
  <r>
    <n v="1091"/>
    <x v="43"/>
    <n v="10"/>
    <x v="8"/>
    <s v="123 10th Street"/>
    <x v="7"/>
    <x v="7"/>
    <n v="99999"/>
    <s v="USA"/>
    <x v="6"/>
    <x v="1"/>
    <d v="2014-04-12T00:00:00"/>
    <s v="Shipping Company B"/>
    <s v="Roland Wacker"/>
    <s v="123 10th Street"/>
    <x v="7"/>
    <s v="IL"/>
    <n v="99999"/>
    <s v="USA"/>
    <s v="Credit Card"/>
    <x v="10"/>
    <x v="0"/>
    <n v="2.99"/>
    <n v="88"/>
    <x v="76"/>
    <n v="26.04888"/>
  </r>
  <r>
    <n v="1092"/>
    <x v="44"/>
    <n v="7"/>
    <x v="9"/>
    <s v="123 7th Street"/>
    <x v="8"/>
    <x v="8"/>
    <n v="99999"/>
    <s v="USA"/>
    <x v="2"/>
    <x v="2"/>
    <m/>
    <m/>
    <s v="Ming-Yang Xie"/>
    <s v="123 7th Street"/>
    <x v="8"/>
    <s v="ID"/>
    <n v="99999"/>
    <s v="USA"/>
    <m/>
    <x v="5"/>
    <x v="0"/>
    <n v="46"/>
    <n v="59"/>
    <x v="77"/>
    <n v="284.97000000000003"/>
  </r>
  <r>
    <n v="1093"/>
    <x v="43"/>
    <n v="10"/>
    <x v="8"/>
    <s v="123 10th Street"/>
    <x v="7"/>
    <x v="7"/>
    <n v="99999"/>
    <s v="USA"/>
    <x v="6"/>
    <x v="1"/>
    <d v="2014-04-12T00:00:00"/>
    <s v="Shipping Company A"/>
    <s v="Roland Wacker"/>
    <s v="123 10th Street"/>
    <x v="7"/>
    <s v="IL"/>
    <n v="99999"/>
    <s v="USA"/>
    <m/>
    <x v="11"/>
    <x v="6"/>
    <n v="25"/>
    <n v="27"/>
    <x v="78"/>
    <n v="68.849999999999994"/>
  </r>
  <r>
    <n v="1094"/>
    <x v="43"/>
    <n v="10"/>
    <x v="8"/>
    <s v="123 10th Street"/>
    <x v="7"/>
    <x v="7"/>
    <n v="99999"/>
    <s v="USA"/>
    <x v="6"/>
    <x v="1"/>
    <d v="2014-04-12T00:00:00"/>
    <s v="Shipping Company A"/>
    <s v="Roland Wacker"/>
    <s v="123 10th Street"/>
    <x v="7"/>
    <s v="IL"/>
    <n v="99999"/>
    <s v="USA"/>
    <m/>
    <x v="12"/>
    <x v="7"/>
    <n v="22"/>
    <n v="37"/>
    <x v="79"/>
    <n v="85.470000000000013"/>
  </r>
  <r>
    <n v="1095"/>
    <x v="43"/>
    <n v="10"/>
    <x v="8"/>
    <s v="123 10th Street"/>
    <x v="7"/>
    <x v="7"/>
    <n v="99999"/>
    <s v="USA"/>
    <x v="6"/>
    <x v="1"/>
    <d v="2014-04-12T00:00:00"/>
    <s v="Shipping Company A"/>
    <s v="Roland Wacker"/>
    <s v="123 10th Street"/>
    <x v="7"/>
    <s v="IL"/>
    <n v="99999"/>
    <s v="USA"/>
    <m/>
    <x v="6"/>
    <x v="2"/>
    <n v="9.1999999999999993"/>
    <n v="75"/>
    <x v="80"/>
    <n v="69"/>
  </r>
  <r>
    <n v="1096"/>
    <x v="45"/>
    <n v="11"/>
    <x v="10"/>
    <s v="123 11th Street"/>
    <x v="9"/>
    <x v="9"/>
    <n v="99999"/>
    <s v="USA"/>
    <x v="5"/>
    <x v="3"/>
    <m/>
    <s v="Shipping Company C"/>
    <s v="Peter Krschne"/>
    <s v="123 11th Street"/>
    <x v="9"/>
    <s v="FL"/>
    <n v="99999"/>
    <s v="USA"/>
    <m/>
    <x v="1"/>
    <x v="1"/>
    <n v="3.5"/>
    <n v="71"/>
    <x v="81"/>
    <n v="24.104500000000002"/>
  </r>
  <r>
    <n v="1097"/>
    <x v="45"/>
    <n v="11"/>
    <x v="10"/>
    <s v="123 11th Street"/>
    <x v="9"/>
    <x v="9"/>
    <n v="99999"/>
    <s v="USA"/>
    <x v="5"/>
    <x v="3"/>
    <m/>
    <s v="Shipping Company C"/>
    <s v="Peter Krschne"/>
    <s v="123 11th Street"/>
    <x v="9"/>
    <s v="FL"/>
    <n v="99999"/>
    <s v="USA"/>
    <m/>
    <x v="10"/>
    <x v="0"/>
    <n v="2.99"/>
    <n v="88"/>
    <x v="76"/>
    <n v="26.04888"/>
  </r>
  <r>
    <n v="1098"/>
    <x v="46"/>
    <n v="1"/>
    <x v="11"/>
    <s v="123 1st Street"/>
    <x v="10"/>
    <x v="10"/>
    <n v="99999"/>
    <s v="USA"/>
    <x v="2"/>
    <x v="2"/>
    <m/>
    <m/>
    <s v="Anna Bedecs"/>
    <s v="123 1st Street"/>
    <x v="10"/>
    <s v="WA"/>
    <n v="99999"/>
    <s v="USA"/>
    <m/>
    <x v="4"/>
    <x v="0"/>
    <n v="18"/>
    <n v="55"/>
    <x v="82"/>
    <n v="97.02"/>
  </r>
  <r>
    <n v="1099"/>
    <x v="47"/>
    <n v="29"/>
    <x v="4"/>
    <s v="789 29th Street"/>
    <x v="3"/>
    <x v="3"/>
    <n v="99999"/>
    <s v="USA"/>
    <x v="3"/>
    <x v="0"/>
    <d v="2014-05-31T00:00:00"/>
    <s v="Shipping Company B"/>
    <s v="Soo Jung Lee"/>
    <s v="789 29th Street"/>
    <x v="3"/>
    <s v="CO"/>
    <n v="99999"/>
    <s v="USA"/>
    <s v="Check"/>
    <x v="7"/>
    <x v="3"/>
    <n v="12.75"/>
    <n v="14"/>
    <x v="83"/>
    <n v="16.9575"/>
  </r>
  <r>
    <n v="1100"/>
    <x v="48"/>
    <n v="3"/>
    <x v="5"/>
    <s v="123 3rd Street"/>
    <x v="4"/>
    <x v="4"/>
    <n v="99999"/>
    <s v="USA"/>
    <x v="0"/>
    <x v="0"/>
    <d v="2014-05-05T00:00:00"/>
    <s v="Shipping Company B"/>
    <s v="Thomas Axerr"/>
    <s v="123 3rd Street"/>
    <x v="4"/>
    <s v="CA"/>
    <n v="99999"/>
    <s v="USA"/>
    <s v="Cash"/>
    <x v="8"/>
    <x v="4"/>
    <n v="9.65"/>
    <n v="43"/>
    <x v="84"/>
    <n v="42.324900000000007"/>
  </r>
  <r>
    <n v="1101"/>
    <x v="49"/>
    <n v="6"/>
    <x v="6"/>
    <s v="123 6th Street"/>
    <x v="5"/>
    <x v="5"/>
    <n v="99999"/>
    <s v="USA"/>
    <x v="4"/>
    <x v="2"/>
    <n v="41767"/>
    <s v="Shipping Company B"/>
    <s v="Francisco Pérez-Olaeta"/>
    <s v="123 6th Street"/>
    <x v="5"/>
    <s v="WI"/>
    <n v="99999"/>
    <s v="USA"/>
    <s v="Credit Card"/>
    <x v="9"/>
    <x v="5"/>
    <n v="40"/>
    <n v="63"/>
    <x v="85"/>
    <n v="254.52"/>
  </r>
  <r>
    <n v="1102"/>
    <x v="50"/>
    <n v="28"/>
    <x v="7"/>
    <s v="789 28th Street"/>
    <x v="6"/>
    <x v="6"/>
    <n v="99999"/>
    <s v="USA"/>
    <x v="5"/>
    <x v="3"/>
    <d v="2014-05-30T00:00:00"/>
    <s v="Shipping Company C"/>
    <s v="Amritansh Raghav"/>
    <s v="789 28th Street"/>
    <x v="6"/>
    <s v="TN"/>
    <n v="99999"/>
    <s v="USA"/>
    <s v="Check"/>
    <x v="5"/>
    <x v="0"/>
    <n v="46"/>
    <n v="36"/>
    <x v="86"/>
    <n v="165.60000000000002"/>
  </r>
  <r>
    <n v="1103"/>
    <x v="51"/>
    <n v="8"/>
    <x v="3"/>
    <s v="123 8th Street"/>
    <x v="2"/>
    <x v="2"/>
    <n v="99999"/>
    <s v="USA"/>
    <x v="2"/>
    <x v="2"/>
    <d v="2014-05-10T00:00:00"/>
    <s v="Shipping Company C"/>
    <s v="Elizabeth Andersen"/>
    <s v="123 8th Street"/>
    <x v="2"/>
    <s v="OR"/>
    <n v="99999"/>
    <s v="USA"/>
    <s v="Check"/>
    <x v="7"/>
    <x v="3"/>
    <n v="12.75"/>
    <n v="41"/>
    <x v="87"/>
    <n v="54.366000000000007"/>
  </r>
  <r>
    <n v="1104"/>
    <x v="52"/>
    <n v="10"/>
    <x v="8"/>
    <s v="123 10th Street"/>
    <x v="7"/>
    <x v="7"/>
    <n v="99999"/>
    <s v="USA"/>
    <x v="6"/>
    <x v="1"/>
    <d v="2014-05-12T00:00:00"/>
    <s v="Shipping Company B"/>
    <s v="Roland Wacker"/>
    <s v="123 10th Street"/>
    <x v="7"/>
    <s v="IL"/>
    <n v="99999"/>
    <s v="USA"/>
    <s v="Credit Card"/>
    <x v="10"/>
    <x v="0"/>
    <n v="2.99"/>
    <n v="35"/>
    <x v="88"/>
    <n v="10.255700000000001"/>
  </r>
  <r>
    <n v="1105"/>
    <x v="53"/>
    <n v="7"/>
    <x v="9"/>
    <s v="123 7th Street"/>
    <x v="8"/>
    <x v="8"/>
    <n v="99999"/>
    <s v="USA"/>
    <x v="2"/>
    <x v="2"/>
    <m/>
    <m/>
    <s v="Ming-Yang Xie"/>
    <s v="123 7th Street"/>
    <x v="8"/>
    <s v="ID"/>
    <n v="99999"/>
    <s v="USA"/>
    <m/>
    <x v="5"/>
    <x v="0"/>
    <n v="46"/>
    <n v="31"/>
    <x v="89"/>
    <n v="136.89599999999999"/>
  </r>
  <r>
    <n v="1106"/>
    <x v="52"/>
    <n v="10"/>
    <x v="8"/>
    <s v="123 10th Street"/>
    <x v="7"/>
    <x v="7"/>
    <n v="99999"/>
    <s v="USA"/>
    <x v="6"/>
    <x v="1"/>
    <n v="41771"/>
    <s v="Shipping Company A"/>
    <s v="Roland Wacker"/>
    <s v="123 10th Street"/>
    <x v="7"/>
    <s v="IL"/>
    <n v="99999"/>
    <s v="USA"/>
    <m/>
    <x v="11"/>
    <x v="6"/>
    <n v="25"/>
    <n v="52"/>
    <x v="90"/>
    <n v="123.5"/>
  </r>
  <r>
    <n v="1107"/>
    <x v="52"/>
    <n v="10"/>
    <x v="8"/>
    <s v="123 10th Street"/>
    <x v="7"/>
    <x v="7"/>
    <n v="99999"/>
    <s v="USA"/>
    <x v="6"/>
    <x v="1"/>
    <n v="41771"/>
    <s v="Shipping Company A"/>
    <s v="Roland Wacker"/>
    <s v="123 10th Street"/>
    <x v="7"/>
    <s v="IL"/>
    <n v="99999"/>
    <s v="USA"/>
    <m/>
    <x v="12"/>
    <x v="7"/>
    <n v="22"/>
    <n v="30"/>
    <x v="91"/>
    <n v="67.320000000000007"/>
  </r>
  <r>
    <n v="1108"/>
    <x v="52"/>
    <n v="10"/>
    <x v="8"/>
    <s v="123 10th Street"/>
    <x v="7"/>
    <x v="7"/>
    <n v="99999"/>
    <s v="USA"/>
    <x v="6"/>
    <x v="1"/>
    <d v="2014-05-12T00:00:00"/>
    <s v="Shipping Company A"/>
    <s v="Roland Wacker"/>
    <s v="123 10th Street"/>
    <x v="7"/>
    <s v="IL"/>
    <n v="99999"/>
    <s v="USA"/>
    <m/>
    <x v="6"/>
    <x v="2"/>
    <n v="9.1999999999999993"/>
    <n v="41"/>
    <x v="92"/>
    <n v="38.474400000000003"/>
  </r>
  <r>
    <n v="1109"/>
    <x v="54"/>
    <n v="11"/>
    <x v="10"/>
    <s v="123 11th Street"/>
    <x v="9"/>
    <x v="9"/>
    <n v="99999"/>
    <s v="USA"/>
    <x v="5"/>
    <x v="3"/>
    <m/>
    <s v="Shipping Company C"/>
    <s v="Peter Krschne"/>
    <s v="123 11th Street"/>
    <x v="9"/>
    <s v="FL"/>
    <n v="99999"/>
    <s v="USA"/>
    <m/>
    <x v="1"/>
    <x v="1"/>
    <n v="3.5"/>
    <n v="44"/>
    <x v="93"/>
    <n v="15.246"/>
  </r>
  <r>
    <n v="1110"/>
    <x v="54"/>
    <n v="11"/>
    <x v="10"/>
    <s v="123 11th Street"/>
    <x v="9"/>
    <x v="9"/>
    <n v="99999"/>
    <s v="USA"/>
    <x v="5"/>
    <x v="3"/>
    <m/>
    <s v="Shipping Company C"/>
    <s v="Peter Krschne"/>
    <s v="123 11th Street"/>
    <x v="9"/>
    <s v="FL"/>
    <n v="99999"/>
    <s v="USA"/>
    <m/>
    <x v="10"/>
    <x v="0"/>
    <n v="2.99"/>
    <n v="77"/>
    <x v="94"/>
    <n v="23.023000000000003"/>
  </r>
  <r>
    <n v="1111"/>
    <x v="55"/>
    <n v="1"/>
    <x v="11"/>
    <s v="123 1st Street"/>
    <x v="10"/>
    <x v="10"/>
    <n v="99999"/>
    <s v="USA"/>
    <x v="2"/>
    <x v="2"/>
    <m/>
    <m/>
    <s v="Anna Bedecs"/>
    <s v="123 1st Street"/>
    <x v="10"/>
    <s v="WA"/>
    <n v="99999"/>
    <s v="USA"/>
    <m/>
    <x v="4"/>
    <x v="0"/>
    <n v="18"/>
    <n v="29"/>
    <x v="95"/>
    <n v="52.722000000000001"/>
  </r>
  <r>
    <n v="1112"/>
    <x v="55"/>
    <n v="1"/>
    <x v="11"/>
    <s v="123 1st Street"/>
    <x v="10"/>
    <x v="10"/>
    <n v="99999"/>
    <s v="USA"/>
    <x v="2"/>
    <x v="2"/>
    <m/>
    <m/>
    <s v="Anna Bedecs"/>
    <s v="123 1st Street"/>
    <x v="10"/>
    <s v="WA"/>
    <n v="99999"/>
    <s v="USA"/>
    <m/>
    <x v="5"/>
    <x v="0"/>
    <n v="46"/>
    <n v="77"/>
    <x v="96"/>
    <n v="368.36800000000005"/>
  </r>
  <r>
    <n v="1113"/>
    <x v="55"/>
    <n v="1"/>
    <x v="11"/>
    <s v="123 1st Street"/>
    <x v="10"/>
    <x v="10"/>
    <n v="99999"/>
    <s v="USA"/>
    <x v="2"/>
    <x v="2"/>
    <m/>
    <m/>
    <s v="Anna Bedecs"/>
    <s v="123 1st Street"/>
    <x v="10"/>
    <s v="WA"/>
    <n v="99999"/>
    <s v="USA"/>
    <m/>
    <x v="10"/>
    <x v="0"/>
    <n v="2.99"/>
    <n v="73"/>
    <x v="97"/>
    <n v="21.827000000000002"/>
  </r>
  <r>
    <n v="1114"/>
    <x v="50"/>
    <n v="28"/>
    <x v="7"/>
    <s v="789 28th Street"/>
    <x v="6"/>
    <x v="6"/>
    <n v="99999"/>
    <s v="USA"/>
    <x v="5"/>
    <x v="3"/>
    <n v="41789"/>
    <s v="Shipping Company C"/>
    <s v="Amritansh Raghav"/>
    <s v="789 28th Street"/>
    <x v="6"/>
    <s v="TN"/>
    <n v="99999"/>
    <s v="USA"/>
    <s v="Credit Card"/>
    <x v="8"/>
    <x v="4"/>
    <n v="9.65"/>
    <n v="74"/>
    <x v="98"/>
    <n v="67.839500000000001"/>
  </r>
  <r>
    <n v="1115"/>
    <x v="50"/>
    <n v="28"/>
    <x v="7"/>
    <s v="789 28th Street"/>
    <x v="6"/>
    <x v="6"/>
    <n v="99999"/>
    <s v="USA"/>
    <x v="5"/>
    <x v="3"/>
    <d v="2014-05-30T00:00:00"/>
    <s v="Shipping Company C"/>
    <s v="Amritansh Raghav"/>
    <s v="789 28th Street"/>
    <x v="6"/>
    <s v="TN"/>
    <n v="99999"/>
    <s v="USA"/>
    <s v="Credit Card"/>
    <x v="13"/>
    <x v="8"/>
    <n v="18.399999999999999"/>
    <n v="25"/>
    <x v="99"/>
    <n v="46.46"/>
  </r>
  <r>
    <n v="1116"/>
    <x v="56"/>
    <n v="9"/>
    <x v="12"/>
    <s v="123 9th Street"/>
    <x v="11"/>
    <x v="11"/>
    <n v="99999"/>
    <s v="USA"/>
    <x v="7"/>
    <x v="0"/>
    <d v="2014-05-11T00:00:00"/>
    <s v="Shipping Company A"/>
    <s v="Sven Mortensen"/>
    <s v="123 9th Street"/>
    <x v="11"/>
    <s v="UT"/>
    <n v="99999"/>
    <s v="USA"/>
    <s v="Check"/>
    <x v="14"/>
    <x v="9"/>
    <n v="19.5"/>
    <n v="82"/>
    <x v="100"/>
    <n v="153.50399999999999"/>
  </r>
  <r>
    <n v="1117"/>
    <x v="56"/>
    <n v="9"/>
    <x v="12"/>
    <s v="123 9th Street"/>
    <x v="11"/>
    <x v="11"/>
    <n v="99999"/>
    <s v="USA"/>
    <x v="7"/>
    <x v="0"/>
    <d v="2014-05-11T00:00:00"/>
    <s v="Shipping Company A"/>
    <s v="Sven Mortensen"/>
    <s v="123 9th Street"/>
    <x v="11"/>
    <s v="UT"/>
    <n v="99999"/>
    <s v="USA"/>
    <s v="Check"/>
    <x v="15"/>
    <x v="10"/>
    <n v="34.799999999999997"/>
    <n v="37"/>
    <x v="101"/>
    <n v="132.62279999999998"/>
  </r>
  <r>
    <n v="1118"/>
    <x v="49"/>
    <n v="6"/>
    <x v="6"/>
    <s v="123 6th Street"/>
    <x v="5"/>
    <x v="5"/>
    <n v="99999"/>
    <s v="USA"/>
    <x v="4"/>
    <x v="2"/>
    <n v="41767"/>
    <s v="Shipping Company B"/>
    <s v="Francisco Pérez-Olaeta"/>
    <s v="123 6th Street"/>
    <x v="5"/>
    <s v="WI"/>
    <n v="99999"/>
    <s v="USA"/>
    <s v="Credit Card"/>
    <x v="0"/>
    <x v="0"/>
    <n v="14"/>
    <n v="84"/>
    <x v="102"/>
    <n v="112.896"/>
  </r>
  <r>
    <n v="1119"/>
    <x v="51"/>
    <n v="8"/>
    <x v="3"/>
    <s v="123 8th Street"/>
    <x v="2"/>
    <x v="2"/>
    <n v="99999"/>
    <s v="USA"/>
    <x v="2"/>
    <x v="2"/>
    <n v="41769"/>
    <s v="Shipping Company B"/>
    <s v="Elizabeth Andersen"/>
    <s v="123 8th Street"/>
    <x v="2"/>
    <s v="OR"/>
    <n v="99999"/>
    <s v="USA"/>
    <s v="Check"/>
    <x v="9"/>
    <x v="5"/>
    <n v="40"/>
    <n v="73"/>
    <x v="103"/>
    <n v="283.24"/>
  </r>
  <r>
    <n v="1120"/>
    <x v="51"/>
    <n v="8"/>
    <x v="3"/>
    <s v="123 8th Street"/>
    <x v="2"/>
    <x v="2"/>
    <n v="99999"/>
    <s v="USA"/>
    <x v="2"/>
    <x v="2"/>
    <n v="41769"/>
    <s v="Shipping Company B"/>
    <s v="Elizabeth Andersen"/>
    <s v="123 8th Street"/>
    <x v="2"/>
    <s v="OR"/>
    <n v="99999"/>
    <s v="USA"/>
    <s v="Check"/>
    <x v="6"/>
    <x v="2"/>
    <n v="9.1999999999999993"/>
    <n v="51"/>
    <x v="104"/>
    <n v="44.573999999999998"/>
  </r>
  <r>
    <n v="1121"/>
    <x v="57"/>
    <n v="25"/>
    <x v="13"/>
    <s v="789 25th Street"/>
    <x v="7"/>
    <x v="7"/>
    <n v="99999"/>
    <s v="USA"/>
    <x v="6"/>
    <x v="1"/>
    <n v="41786"/>
    <s v="Shipping Company A"/>
    <s v="John Rodman"/>
    <s v="789 25th Street"/>
    <x v="7"/>
    <s v="IL"/>
    <n v="99999"/>
    <s v="USA"/>
    <s v="Cash"/>
    <x v="21"/>
    <x v="2"/>
    <n v="10"/>
    <n v="66"/>
    <x v="91"/>
    <n v="68.64"/>
  </r>
  <r>
    <n v="1122"/>
    <x v="58"/>
    <n v="26"/>
    <x v="14"/>
    <s v="789 26th Street"/>
    <x v="9"/>
    <x v="9"/>
    <n v="99999"/>
    <s v="USA"/>
    <x v="5"/>
    <x v="3"/>
    <n v="41787"/>
    <s v="Shipping Company C"/>
    <s v="Run Liu"/>
    <s v="789 26th Street"/>
    <x v="9"/>
    <s v="FL"/>
    <n v="99999"/>
    <s v="USA"/>
    <s v="Credit Card"/>
    <x v="22"/>
    <x v="13"/>
    <n v="21.35"/>
    <n v="36"/>
    <x v="105"/>
    <n v="74.554200000000009"/>
  </r>
  <r>
    <n v="1123"/>
    <x v="58"/>
    <n v="26"/>
    <x v="14"/>
    <s v="789 26th Street"/>
    <x v="9"/>
    <x v="9"/>
    <n v="99999"/>
    <s v="USA"/>
    <x v="5"/>
    <x v="3"/>
    <d v="2014-05-28T00:00:00"/>
    <s v="Shipping Company C"/>
    <s v="Run Liu"/>
    <s v="789 26th Street"/>
    <x v="9"/>
    <s v="FL"/>
    <n v="99999"/>
    <s v="USA"/>
    <s v="Credit Card"/>
    <x v="8"/>
    <x v="4"/>
    <n v="9.65"/>
    <n v="87"/>
    <x v="106"/>
    <n v="87.313200000000009"/>
  </r>
  <r>
    <n v="1124"/>
    <x v="58"/>
    <n v="26"/>
    <x v="14"/>
    <s v="789 26th Street"/>
    <x v="9"/>
    <x v="9"/>
    <n v="99999"/>
    <s v="USA"/>
    <x v="5"/>
    <x v="3"/>
    <d v="2014-05-28T00:00:00"/>
    <s v="Shipping Company C"/>
    <s v="Run Liu"/>
    <s v="789 26th Street"/>
    <x v="9"/>
    <s v="FL"/>
    <n v="99999"/>
    <s v="USA"/>
    <s v="Credit Card"/>
    <x v="13"/>
    <x v="8"/>
    <n v="18.399999999999999"/>
    <n v="64"/>
    <x v="107"/>
    <n v="115.40479999999999"/>
  </r>
  <r>
    <n v="1125"/>
    <x v="47"/>
    <n v="29"/>
    <x v="4"/>
    <s v="789 29th Street"/>
    <x v="3"/>
    <x v="3"/>
    <n v="99999"/>
    <s v="USA"/>
    <x v="3"/>
    <x v="0"/>
    <d v="2014-05-31T00:00:00"/>
    <s v="Shipping Company B"/>
    <s v="Soo Jung Lee"/>
    <s v="789 29th Street"/>
    <x v="3"/>
    <s v="CO"/>
    <n v="99999"/>
    <s v="USA"/>
    <s v="Check"/>
    <x v="0"/>
    <x v="0"/>
    <n v="14"/>
    <n v="21"/>
    <x v="108"/>
    <n v="30.870000000000005"/>
  </r>
  <r>
    <n v="1126"/>
    <x v="49"/>
    <n v="6"/>
    <x v="6"/>
    <s v="123 6th Street"/>
    <x v="5"/>
    <x v="5"/>
    <n v="99999"/>
    <s v="USA"/>
    <x v="4"/>
    <x v="2"/>
    <d v="2014-05-08T00:00:00"/>
    <s v="Shipping Company C"/>
    <s v="Francisco Pérez-Olaeta"/>
    <s v="123 6th Street"/>
    <x v="5"/>
    <s v="WI"/>
    <n v="99999"/>
    <s v="USA"/>
    <s v="Check"/>
    <x v="7"/>
    <x v="3"/>
    <n v="12.75"/>
    <n v="19"/>
    <x v="109"/>
    <n v="24.46725"/>
  </r>
  <r>
    <n v="1128"/>
    <x v="59"/>
    <n v="4"/>
    <x v="1"/>
    <s v="123 4th Street"/>
    <x v="1"/>
    <x v="1"/>
    <n v="99999"/>
    <s v="USA"/>
    <x v="1"/>
    <x v="1"/>
    <d v="2014-05-06T00:00:00"/>
    <s v="Shipping Company A"/>
    <s v="Christina Lee"/>
    <s v="123 4th Street"/>
    <x v="1"/>
    <s v="NY"/>
    <n v="99999"/>
    <s v="USA"/>
    <s v="Credit Card"/>
    <x v="23"/>
    <x v="6"/>
    <n v="81"/>
    <n v="23"/>
    <x v="110"/>
    <n v="195.61500000000001"/>
  </r>
  <r>
    <n v="1129"/>
    <x v="59"/>
    <n v="4"/>
    <x v="1"/>
    <s v="123 4th Street"/>
    <x v="1"/>
    <x v="1"/>
    <n v="99999"/>
    <s v="USA"/>
    <x v="1"/>
    <x v="1"/>
    <d v="2014-05-06T00:00:00"/>
    <s v="Shipping Company A"/>
    <s v="Christina Lee"/>
    <s v="123 4th Street"/>
    <x v="1"/>
    <s v="NY"/>
    <n v="99999"/>
    <s v="USA"/>
    <s v="Credit Card"/>
    <x v="24"/>
    <x v="14"/>
    <n v="7"/>
    <n v="72"/>
    <x v="111"/>
    <n v="51.912000000000006"/>
  </r>
  <r>
    <n v="1131"/>
    <x v="51"/>
    <n v="8"/>
    <x v="3"/>
    <s v="123 8th Street"/>
    <x v="2"/>
    <x v="2"/>
    <n v="99999"/>
    <s v="USA"/>
    <x v="2"/>
    <x v="2"/>
    <d v="2014-05-10T00:00:00"/>
    <s v="Shipping Company C"/>
    <s v="Elizabeth Andersen"/>
    <s v="123 8th Street"/>
    <x v="2"/>
    <s v="OR"/>
    <n v="99999"/>
    <s v="USA"/>
    <s v="Credit Card"/>
    <x v="15"/>
    <x v="10"/>
    <n v="34.799999999999997"/>
    <n v="22"/>
    <x v="112"/>
    <n v="75.02879999999999"/>
  </r>
  <r>
    <n v="1134"/>
    <x v="48"/>
    <n v="3"/>
    <x v="5"/>
    <s v="123 3rd Street"/>
    <x v="4"/>
    <x v="4"/>
    <n v="99999"/>
    <s v="USA"/>
    <x v="0"/>
    <x v="0"/>
    <d v="2014-05-05T00:00:00"/>
    <s v="Shipping Company B"/>
    <s v="Thomas Axerr"/>
    <s v="123 3rd Street"/>
    <x v="4"/>
    <s v="CA"/>
    <n v="99999"/>
    <s v="USA"/>
    <s v="Cash"/>
    <x v="16"/>
    <x v="7"/>
    <n v="10"/>
    <n v="82"/>
    <x v="113"/>
    <n v="85.28"/>
  </r>
  <r>
    <n v="1135"/>
    <x v="48"/>
    <n v="3"/>
    <x v="5"/>
    <s v="123 3rd Street"/>
    <x v="4"/>
    <x v="4"/>
    <n v="99999"/>
    <s v="USA"/>
    <x v="0"/>
    <x v="0"/>
    <d v="2014-05-05T00:00:00"/>
    <s v="Shipping Company B"/>
    <s v="Thomas Axerr"/>
    <s v="123 3rd Street"/>
    <x v="4"/>
    <s v="CA"/>
    <n v="99999"/>
    <s v="USA"/>
    <s v="Cash"/>
    <x v="9"/>
    <x v="5"/>
    <n v="40"/>
    <n v="98"/>
    <x v="114"/>
    <n v="411.6"/>
  </r>
  <r>
    <n v="1138"/>
    <x v="60"/>
    <n v="7"/>
    <x v="9"/>
    <s v="123 7th Street"/>
    <x v="8"/>
    <x v="8"/>
    <n v="99999"/>
    <s v="USA"/>
    <x v="2"/>
    <x v="2"/>
    <m/>
    <m/>
    <s v="Ming-Yang Xie"/>
    <s v="123 7th Street"/>
    <x v="8"/>
    <s v="ID"/>
    <n v="99999"/>
    <s v="USA"/>
    <m/>
    <x v="5"/>
    <x v="0"/>
    <n v="46"/>
    <n v="71"/>
    <x v="115"/>
    <n v="310.27"/>
  </r>
  <r>
    <n v="1139"/>
    <x v="61"/>
    <n v="10"/>
    <x v="8"/>
    <s v="123 10th Street"/>
    <x v="7"/>
    <x v="7"/>
    <n v="99999"/>
    <s v="USA"/>
    <x v="6"/>
    <x v="1"/>
    <d v="2014-06-12T00:00:00"/>
    <s v="Shipping Company A"/>
    <s v="Roland Wacker"/>
    <s v="123 10th Street"/>
    <x v="7"/>
    <s v="IL"/>
    <n v="99999"/>
    <s v="USA"/>
    <m/>
    <x v="11"/>
    <x v="6"/>
    <n v="25"/>
    <n v="40"/>
    <x v="116"/>
    <n v="105"/>
  </r>
  <r>
    <n v="1140"/>
    <x v="61"/>
    <n v="10"/>
    <x v="8"/>
    <s v="123 10th Street"/>
    <x v="7"/>
    <x v="7"/>
    <n v="99999"/>
    <s v="USA"/>
    <x v="6"/>
    <x v="1"/>
    <d v="2014-06-12T00:00:00"/>
    <s v="Shipping Company A"/>
    <s v="Roland Wacker"/>
    <s v="123 10th Street"/>
    <x v="7"/>
    <s v="IL"/>
    <n v="99999"/>
    <s v="USA"/>
    <m/>
    <x v="12"/>
    <x v="7"/>
    <n v="22"/>
    <n v="80"/>
    <x v="117"/>
    <n v="172.48"/>
  </r>
  <r>
    <n v="1141"/>
    <x v="61"/>
    <n v="10"/>
    <x v="8"/>
    <s v="123 10th Street"/>
    <x v="7"/>
    <x v="7"/>
    <n v="99999"/>
    <s v="USA"/>
    <x v="6"/>
    <x v="1"/>
    <d v="2014-06-12T00:00:00"/>
    <s v="Shipping Company A"/>
    <s v="Roland Wacker"/>
    <s v="123 10th Street"/>
    <x v="7"/>
    <s v="IL"/>
    <n v="99999"/>
    <s v="USA"/>
    <m/>
    <x v="6"/>
    <x v="2"/>
    <n v="9.1999999999999993"/>
    <n v="38"/>
    <x v="7"/>
    <n v="33.211999999999996"/>
  </r>
  <r>
    <n v="1142"/>
    <x v="62"/>
    <n v="11"/>
    <x v="10"/>
    <s v="123 11th Street"/>
    <x v="9"/>
    <x v="9"/>
    <n v="99999"/>
    <s v="USA"/>
    <x v="5"/>
    <x v="3"/>
    <m/>
    <s v="Shipping Company C"/>
    <s v="Peter Krschne"/>
    <s v="123 11th Street"/>
    <x v="9"/>
    <s v="FL"/>
    <n v="99999"/>
    <s v="USA"/>
    <m/>
    <x v="1"/>
    <x v="1"/>
    <n v="3.5"/>
    <n v="28"/>
    <x v="118"/>
    <n v="10.290000000000001"/>
  </r>
  <r>
    <n v="1143"/>
    <x v="62"/>
    <n v="11"/>
    <x v="10"/>
    <s v="123 11th Street"/>
    <x v="9"/>
    <x v="9"/>
    <n v="99999"/>
    <s v="USA"/>
    <x v="5"/>
    <x v="3"/>
    <m/>
    <s v="Shipping Company C"/>
    <s v="Peter Krschne"/>
    <s v="123 11th Street"/>
    <x v="9"/>
    <s v="FL"/>
    <n v="99999"/>
    <s v="USA"/>
    <m/>
    <x v="10"/>
    <x v="0"/>
    <n v="2.99"/>
    <n v="60"/>
    <x v="119"/>
    <n v="17.581200000000003"/>
  </r>
  <r>
    <n v="1144"/>
    <x v="63"/>
    <n v="1"/>
    <x v="11"/>
    <s v="123 1st Street"/>
    <x v="10"/>
    <x v="10"/>
    <n v="99999"/>
    <s v="USA"/>
    <x v="2"/>
    <x v="2"/>
    <m/>
    <m/>
    <s v="Anna Bedecs"/>
    <s v="123 1st Street"/>
    <x v="10"/>
    <s v="WA"/>
    <n v="99999"/>
    <s v="USA"/>
    <m/>
    <x v="4"/>
    <x v="0"/>
    <n v="18"/>
    <n v="33"/>
    <x v="120"/>
    <n v="58.212000000000003"/>
  </r>
  <r>
    <n v="1145"/>
    <x v="63"/>
    <n v="1"/>
    <x v="11"/>
    <s v="123 1st Street"/>
    <x v="10"/>
    <x v="10"/>
    <n v="99999"/>
    <s v="USA"/>
    <x v="2"/>
    <x v="2"/>
    <m/>
    <m/>
    <s v="Anna Bedecs"/>
    <s v="123 1st Street"/>
    <x v="10"/>
    <s v="WA"/>
    <n v="99999"/>
    <s v="USA"/>
    <m/>
    <x v="5"/>
    <x v="0"/>
    <n v="46"/>
    <n v="22"/>
    <x v="121"/>
    <n v="101.2"/>
  </r>
  <r>
    <n v="1146"/>
    <x v="63"/>
    <n v="1"/>
    <x v="11"/>
    <s v="123 1st Street"/>
    <x v="10"/>
    <x v="10"/>
    <n v="99999"/>
    <s v="USA"/>
    <x v="2"/>
    <x v="2"/>
    <m/>
    <m/>
    <s v="Anna Bedecs"/>
    <s v="123 1st Street"/>
    <x v="10"/>
    <s v="WA"/>
    <n v="99999"/>
    <s v="USA"/>
    <m/>
    <x v="10"/>
    <x v="0"/>
    <n v="2.99"/>
    <n v="51"/>
    <x v="122"/>
    <n v="14.944020000000002"/>
  </r>
  <r>
    <n v="1147"/>
    <x v="64"/>
    <n v="28"/>
    <x v="7"/>
    <s v="789 28th Street"/>
    <x v="6"/>
    <x v="6"/>
    <n v="99999"/>
    <s v="USA"/>
    <x v="5"/>
    <x v="3"/>
    <d v="2014-06-30T00:00:00"/>
    <s v="Shipping Company C"/>
    <s v="Amritansh Raghav"/>
    <s v="789 28th Street"/>
    <x v="6"/>
    <s v="TN"/>
    <n v="99999"/>
    <s v="USA"/>
    <s v="Credit Card"/>
    <x v="8"/>
    <x v="4"/>
    <n v="9.65"/>
    <n v="60"/>
    <x v="123"/>
    <n v="57.321000000000005"/>
  </r>
  <r>
    <n v="1148"/>
    <x v="64"/>
    <n v="28"/>
    <x v="7"/>
    <s v="789 28th Street"/>
    <x v="6"/>
    <x v="6"/>
    <n v="99999"/>
    <s v="USA"/>
    <x v="5"/>
    <x v="3"/>
    <d v="2014-06-30T00:00:00"/>
    <s v="Shipping Company C"/>
    <s v="Amritansh Raghav"/>
    <s v="789 28th Street"/>
    <x v="6"/>
    <s v="TN"/>
    <n v="99999"/>
    <s v="USA"/>
    <s v="Credit Card"/>
    <x v="13"/>
    <x v="8"/>
    <n v="18.399999999999999"/>
    <n v="98"/>
    <x v="124"/>
    <n v="183.9264"/>
  </r>
  <r>
    <n v="1149"/>
    <x v="65"/>
    <n v="9"/>
    <x v="12"/>
    <s v="123 9th Street"/>
    <x v="11"/>
    <x v="11"/>
    <n v="99999"/>
    <s v="USA"/>
    <x v="7"/>
    <x v="0"/>
    <d v="2014-06-11T00:00:00"/>
    <s v="Shipping Company A"/>
    <s v="Sven Mortensen"/>
    <s v="123 9th Street"/>
    <x v="11"/>
    <s v="UT"/>
    <n v="99999"/>
    <s v="USA"/>
    <s v="Check"/>
    <x v="14"/>
    <x v="9"/>
    <n v="19.5"/>
    <n v="27"/>
    <x v="125"/>
    <n v="51.070500000000003"/>
  </r>
  <r>
    <n v="1150"/>
    <x v="65"/>
    <n v="9"/>
    <x v="12"/>
    <s v="123 9th Street"/>
    <x v="11"/>
    <x v="11"/>
    <n v="99999"/>
    <s v="USA"/>
    <x v="7"/>
    <x v="0"/>
    <d v="2014-06-11T00:00:00"/>
    <s v="Shipping Company A"/>
    <s v="Sven Mortensen"/>
    <s v="123 9th Street"/>
    <x v="11"/>
    <s v="UT"/>
    <n v="99999"/>
    <s v="USA"/>
    <s v="Check"/>
    <x v="15"/>
    <x v="10"/>
    <n v="34.799999999999997"/>
    <n v="88"/>
    <x v="126"/>
    <n v="303.17759999999993"/>
  </r>
  <r>
    <n v="1151"/>
    <x v="66"/>
    <n v="6"/>
    <x v="6"/>
    <s v="123 6th Street"/>
    <x v="5"/>
    <x v="5"/>
    <n v="99999"/>
    <s v="USA"/>
    <x v="4"/>
    <x v="2"/>
    <d v="2014-06-08T00:00:00"/>
    <s v="Shipping Company B"/>
    <s v="Francisco Pérez-Olaeta"/>
    <s v="123 6th Street"/>
    <x v="5"/>
    <s v="WI"/>
    <n v="99999"/>
    <s v="USA"/>
    <s v="Credit Card"/>
    <x v="0"/>
    <x v="0"/>
    <n v="14"/>
    <n v="65"/>
    <x v="127"/>
    <n v="95.55"/>
  </r>
  <r>
    <n v="1152"/>
    <x v="67"/>
    <n v="8"/>
    <x v="3"/>
    <s v="123 8th Street"/>
    <x v="2"/>
    <x v="2"/>
    <n v="99999"/>
    <s v="USA"/>
    <x v="2"/>
    <x v="2"/>
    <d v="2014-06-10T00:00:00"/>
    <s v="Shipping Company B"/>
    <s v="Elizabeth Andersen"/>
    <s v="123 8th Street"/>
    <x v="2"/>
    <s v="OR"/>
    <n v="99999"/>
    <s v="USA"/>
    <s v="Check"/>
    <x v="9"/>
    <x v="5"/>
    <n v="40"/>
    <n v="38"/>
    <x v="128"/>
    <n v="148.96"/>
  </r>
  <r>
    <n v="1153"/>
    <x v="67"/>
    <n v="8"/>
    <x v="3"/>
    <s v="123 8th Street"/>
    <x v="2"/>
    <x v="2"/>
    <n v="99999"/>
    <s v="USA"/>
    <x v="2"/>
    <x v="2"/>
    <n v="41800"/>
    <s v="Shipping Company B"/>
    <s v="Elizabeth Andersen"/>
    <s v="123 8th Street"/>
    <x v="2"/>
    <s v="OR"/>
    <n v="99999"/>
    <s v="USA"/>
    <s v="Check"/>
    <x v="6"/>
    <x v="2"/>
    <n v="9.1999999999999993"/>
    <n v="80"/>
    <x v="129"/>
    <n v="70.656000000000006"/>
  </r>
  <r>
    <n v="1154"/>
    <x v="68"/>
    <n v="25"/>
    <x v="13"/>
    <s v="789 25th Street"/>
    <x v="7"/>
    <x v="7"/>
    <n v="99999"/>
    <s v="USA"/>
    <x v="6"/>
    <x v="1"/>
    <d v="2014-06-27T00:00:00"/>
    <s v="Shipping Company A"/>
    <s v="John Rodman"/>
    <s v="789 25th Street"/>
    <x v="7"/>
    <s v="IL"/>
    <n v="99999"/>
    <s v="USA"/>
    <s v="Cash"/>
    <x v="21"/>
    <x v="2"/>
    <n v="10"/>
    <n v="49"/>
    <x v="130"/>
    <n v="47.04"/>
  </r>
  <r>
    <n v="1155"/>
    <x v="69"/>
    <n v="26"/>
    <x v="14"/>
    <s v="789 26th Street"/>
    <x v="9"/>
    <x v="9"/>
    <n v="99999"/>
    <s v="USA"/>
    <x v="5"/>
    <x v="3"/>
    <d v="2014-06-28T00:00:00"/>
    <s v="Shipping Company C"/>
    <s v="Run Liu"/>
    <s v="789 26th Street"/>
    <x v="9"/>
    <s v="FL"/>
    <n v="99999"/>
    <s v="USA"/>
    <s v="Credit Card"/>
    <x v="22"/>
    <x v="13"/>
    <n v="21.35"/>
    <n v="90"/>
    <x v="131"/>
    <n v="186.38550000000004"/>
  </r>
  <r>
    <n v="1156"/>
    <x v="69"/>
    <n v="26"/>
    <x v="14"/>
    <s v="789 26th Street"/>
    <x v="9"/>
    <x v="9"/>
    <n v="99999"/>
    <s v="USA"/>
    <x v="5"/>
    <x v="3"/>
    <d v="2014-06-28T00:00:00"/>
    <s v="Shipping Company C"/>
    <s v="Run Liu"/>
    <s v="789 26th Street"/>
    <x v="9"/>
    <s v="FL"/>
    <n v="99999"/>
    <s v="USA"/>
    <s v="Credit Card"/>
    <x v="8"/>
    <x v="4"/>
    <n v="9.65"/>
    <n v="60"/>
    <x v="123"/>
    <n v="59.637000000000008"/>
  </r>
  <r>
    <n v="1157"/>
    <x v="69"/>
    <n v="26"/>
    <x v="14"/>
    <s v="789 26th Street"/>
    <x v="9"/>
    <x v="9"/>
    <n v="99999"/>
    <s v="USA"/>
    <x v="5"/>
    <x v="3"/>
    <n v="41818"/>
    <s v="Shipping Company C"/>
    <s v="Run Liu"/>
    <s v="789 26th Street"/>
    <x v="9"/>
    <s v="FL"/>
    <n v="99999"/>
    <s v="USA"/>
    <s v="Credit Card"/>
    <x v="13"/>
    <x v="8"/>
    <n v="18.399999999999999"/>
    <n v="39"/>
    <x v="132"/>
    <n v="71.759999999999991"/>
  </r>
  <r>
    <n v="1158"/>
    <x v="70"/>
    <n v="29"/>
    <x v="4"/>
    <s v="789 29th Street"/>
    <x v="3"/>
    <x v="3"/>
    <n v="99999"/>
    <s v="USA"/>
    <x v="3"/>
    <x v="0"/>
    <n v="41821"/>
    <s v="Shipping Company B"/>
    <s v="Soo Jung Lee"/>
    <s v="789 29th Street"/>
    <x v="3"/>
    <s v="CO"/>
    <n v="99999"/>
    <s v="USA"/>
    <s v="Check"/>
    <x v="0"/>
    <x v="0"/>
    <n v="14"/>
    <n v="79"/>
    <x v="133"/>
    <n v="113.91800000000001"/>
  </r>
  <r>
    <n v="1159"/>
    <x v="66"/>
    <n v="6"/>
    <x v="6"/>
    <s v="123 6th Street"/>
    <x v="5"/>
    <x v="5"/>
    <n v="99999"/>
    <s v="USA"/>
    <x v="4"/>
    <x v="2"/>
    <n v="41798"/>
    <s v="Shipping Company C"/>
    <s v="Francisco Pérez-Olaeta"/>
    <s v="123 6th Street"/>
    <x v="5"/>
    <s v="WI"/>
    <n v="99999"/>
    <s v="USA"/>
    <s v="Check"/>
    <x v="7"/>
    <x v="3"/>
    <n v="12.75"/>
    <n v="44"/>
    <x v="134"/>
    <n v="57.222000000000001"/>
  </r>
  <r>
    <n v="1161"/>
    <x v="71"/>
    <n v="4"/>
    <x v="1"/>
    <s v="123 4th Street"/>
    <x v="1"/>
    <x v="1"/>
    <n v="99999"/>
    <s v="USA"/>
    <x v="1"/>
    <x v="1"/>
    <n v="41796"/>
    <s v="Shipping Company A"/>
    <s v="Christina Lee"/>
    <s v="123 4th Street"/>
    <x v="1"/>
    <s v="NY"/>
    <n v="99999"/>
    <s v="USA"/>
    <s v="Credit Card"/>
    <x v="23"/>
    <x v="6"/>
    <n v="81"/>
    <n v="98"/>
    <x v="135"/>
    <n v="769.98599999999999"/>
  </r>
  <r>
    <n v="1162"/>
    <x v="71"/>
    <n v="4"/>
    <x v="1"/>
    <s v="123 4th Street"/>
    <x v="1"/>
    <x v="1"/>
    <n v="99999"/>
    <s v="USA"/>
    <x v="1"/>
    <x v="1"/>
    <n v="41796"/>
    <s v="Shipping Company A"/>
    <s v="Christina Lee"/>
    <s v="123 4th Street"/>
    <x v="1"/>
    <s v="NY"/>
    <n v="99999"/>
    <s v="USA"/>
    <s v="Credit Card"/>
    <x v="24"/>
    <x v="14"/>
    <n v="7"/>
    <n v="61"/>
    <x v="136"/>
    <n v="42.273000000000003"/>
  </r>
  <r>
    <n v="1164"/>
    <x v="67"/>
    <n v="8"/>
    <x v="3"/>
    <s v="123 8th Street"/>
    <x v="2"/>
    <x v="2"/>
    <n v="99999"/>
    <s v="USA"/>
    <x v="2"/>
    <x v="2"/>
    <d v="2014-06-10T00:00:00"/>
    <s v="Shipping Company C"/>
    <s v="Elizabeth Andersen"/>
    <s v="123 8th Street"/>
    <x v="2"/>
    <s v="OR"/>
    <n v="99999"/>
    <s v="USA"/>
    <s v="Credit Card"/>
    <x v="15"/>
    <x v="10"/>
    <n v="34.799999999999997"/>
    <n v="30"/>
    <x v="137"/>
    <n v="109.62"/>
  </r>
  <r>
    <n v="1167"/>
    <x v="72"/>
    <n v="3"/>
    <x v="5"/>
    <s v="123 3rd Street"/>
    <x v="4"/>
    <x v="4"/>
    <n v="99999"/>
    <s v="USA"/>
    <x v="0"/>
    <x v="0"/>
    <d v="2014-06-05T00:00:00"/>
    <s v="Shipping Company B"/>
    <s v="Thomas Axerr"/>
    <s v="123 3rd Street"/>
    <x v="4"/>
    <s v="CA"/>
    <n v="99999"/>
    <s v="USA"/>
    <s v="Cash"/>
    <x v="16"/>
    <x v="7"/>
    <n v="10"/>
    <n v="24"/>
    <x v="138"/>
    <n v="25.200000000000003"/>
  </r>
  <r>
    <n v="1168"/>
    <x v="72"/>
    <n v="3"/>
    <x v="5"/>
    <s v="123 3rd Street"/>
    <x v="4"/>
    <x v="4"/>
    <n v="99999"/>
    <s v="USA"/>
    <x v="0"/>
    <x v="0"/>
    <d v="2014-06-05T00:00:00"/>
    <s v="Shipping Company B"/>
    <s v="Thomas Axerr"/>
    <s v="123 3rd Street"/>
    <x v="4"/>
    <s v="CA"/>
    <n v="99999"/>
    <s v="USA"/>
    <s v="Cash"/>
    <x v="9"/>
    <x v="5"/>
    <n v="40"/>
    <n v="28"/>
    <x v="139"/>
    <n v="109.75999999999999"/>
  </r>
  <r>
    <n v="1172"/>
    <x v="61"/>
    <n v="10"/>
    <x v="8"/>
    <s v="123 10th Street"/>
    <x v="7"/>
    <x v="7"/>
    <n v="99999"/>
    <s v="USA"/>
    <x v="6"/>
    <x v="1"/>
    <d v="2014-06-12T00:00:00"/>
    <s v="Shipping Company B"/>
    <s v="Roland Wacker"/>
    <s v="123 10th Street"/>
    <x v="7"/>
    <s v="IL"/>
    <n v="99999"/>
    <s v="USA"/>
    <s v="Credit Card"/>
    <x v="18"/>
    <x v="1"/>
    <n v="10"/>
    <n v="74"/>
    <x v="140"/>
    <n v="71.78"/>
  </r>
  <r>
    <n v="1174"/>
    <x v="61"/>
    <n v="10"/>
    <x v="8"/>
    <s v="123 10th Street"/>
    <x v="7"/>
    <x v="7"/>
    <n v="99999"/>
    <s v="USA"/>
    <x v="6"/>
    <x v="1"/>
    <m/>
    <s v="Shipping Company A"/>
    <s v="Roland Wacker"/>
    <s v="123 10th Street"/>
    <x v="7"/>
    <s v="IL"/>
    <n v="99999"/>
    <s v="USA"/>
    <m/>
    <x v="1"/>
    <x v="1"/>
    <n v="3.5"/>
    <n v="90"/>
    <x v="141"/>
    <n v="30.24"/>
  </r>
  <r>
    <n v="1175"/>
    <x v="62"/>
    <n v="11"/>
    <x v="10"/>
    <s v="123 11th Street"/>
    <x v="9"/>
    <x v="9"/>
    <n v="99999"/>
    <s v="USA"/>
    <x v="5"/>
    <x v="3"/>
    <m/>
    <s v="Shipping Company C"/>
    <s v="Peter Krschne"/>
    <s v="123 11th Street"/>
    <x v="9"/>
    <s v="FL"/>
    <n v="99999"/>
    <s v="USA"/>
    <m/>
    <x v="9"/>
    <x v="5"/>
    <n v="40"/>
    <n v="27"/>
    <x v="142"/>
    <n v="111.24000000000001"/>
  </r>
  <r>
    <n v="1176"/>
    <x v="63"/>
    <n v="1"/>
    <x v="11"/>
    <s v="123 1st Street"/>
    <x v="10"/>
    <x v="10"/>
    <n v="99999"/>
    <s v="USA"/>
    <x v="2"/>
    <x v="2"/>
    <m/>
    <s v="Shipping Company C"/>
    <s v="Anna Bedecs"/>
    <s v="123 1st Street"/>
    <x v="10"/>
    <s v="WA"/>
    <n v="99999"/>
    <s v="USA"/>
    <m/>
    <x v="13"/>
    <x v="8"/>
    <n v="18.399999999999999"/>
    <n v="71"/>
    <x v="143"/>
    <n v="137.172"/>
  </r>
  <r>
    <n v="1177"/>
    <x v="64"/>
    <n v="28"/>
    <x v="7"/>
    <s v="789 28th Street"/>
    <x v="6"/>
    <x v="6"/>
    <n v="99999"/>
    <s v="USA"/>
    <x v="5"/>
    <x v="3"/>
    <d v="2014-06-30T00:00:00"/>
    <s v="Shipping Company C"/>
    <s v="Amritansh Raghav"/>
    <s v="789 28th Street"/>
    <x v="6"/>
    <s v="TN"/>
    <n v="99999"/>
    <s v="USA"/>
    <s v="Credit Card"/>
    <x v="5"/>
    <x v="0"/>
    <n v="46"/>
    <n v="74"/>
    <x v="144"/>
    <n v="340.40000000000003"/>
  </r>
  <r>
    <n v="1178"/>
    <x v="65"/>
    <n v="9"/>
    <x v="12"/>
    <s v="123 9th Street"/>
    <x v="11"/>
    <x v="11"/>
    <n v="99999"/>
    <s v="USA"/>
    <x v="7"/>
    <x v="0"/>
    <d v="2014-06-11T00:00:00"/>
    <s v="Shipping Company A"/>
    <s v="Sven Mortensen"/>
    <s v="123 9th Street"/>
    <x v="11"/>
    <s v="UT"/>
    <n v="99999"/>
    <s v="USA"/>
    <s v="Check"/>
    <x v="8"/>
    <x v="4"/>
    <n v="9.65"/>
    <n v="76"/>
    <x v="145"/>
    <n v="72.6066"/>
  </r>
  <r>
    <n v="1179"/>
    <x v="66"/>
    <n v="6"/>
    <x v="6"/>
    <s v="123 6th Street"/>
    <x v="5"/>
    <x v="5"/>
    <n v="99999"/>
    <s v="USA"/>
    <x v="4"/>
    <x v="2"/>
    <d v="2014-06-08T00:00:00"/>
    <s v="Shipping Company B"/>
    <s v="Francisco Pérez-Olaeta"/>
    <s v="123 6th Street"/>
    <x v="5"/>
    <s v="WI"/>
    <n v="99999"/>
    <s v="USA"/>
    <s v="Credit Card"/>
    <x v="7"/>
    <x v="3"/>
    <n v="12.75"/>
    <n v="96"/>
    <x v="146"/>
    <n v="123.62400000000001"/>
  </r>
  <r>
    <n v="1180"/>
    <x v="67"/>
    <n v="8"/>
    <x v="3"/>
    <s v="123 8th Street"/>
    <x v="2"/>
    <x v="2"/>
    <n v="99999"/>
    <s v="USA"/>
    <x v="2"/>
    <x v="2"/>
    <d v="2014-06-10T00:00:00"/>
    <s v="Shipping Company B"/>
    <s v="Elizabeth Andersen"/>
    <s v="123 8th Street"/>
    <x v="2"/>
    <s v="OR"/>
    <n v="99999"/>
    <s v="USA"/>
    <s v="Check"/>
    <x v="7"/>
    <x v="3"/>
    <n v="12.75"/>
    <n v="92"/>
    <x v="147"/>
    <n v="116.12700000000001"/>
  </r>
  <r>
    <n v="1181"/>
    <x v="68"/>
    <n v="25"/>
    <x v="13"/>
    <s v="789 25th Street"/>
    <x v="7"/>
    <x v="7"/>
    <n v="99999"/>
    <s v="USA"/>
    <x v="6"/>
    <x v="1"/>
    <d v="2014-06-27T00:00:00"/>
    <s v="Shipping Company A"/>
    <s v="John Rodman"/>
    <s v="789 25th Street"/>
    <x v="7"/>
    <s v="IL"/>
    <n v="99999"/>
    <s v="USA"/>
    <s v="Cash"/>
    <x v="12"/>
    <x v="7"/>
    <n v="22"/>
    <n v="93"/>
    <x v="148"/>
    <n v="200.50800000000001"/>
  </r>
  <r>
    <n v="1182"/>
    <x v="69"/>
    <n v="26"/>
    <x v="14"/>
    <s v="789 26th Street"/>
    <x v="9"/>
    <x v="9"/>
    <n v="99999"/>
    <s v="USA"/>
    <x v="5"/>
    <x v="3"/>
    <d v="2014-06-28T00:00:00"/>
    <s v="Shipping Company C"/>
    <s v="Run Liu"/>
    <s v="789 26th Street"/>
    <x v="9"/>
    <s v="FL"/>
    <n v="99999"/>
    <s v="USA"/>
    <s v="Credit Card"/>
    <x v="11"/>
    <x v="6"/>
    <n v="25"/>
    <n v="18"/>
    <x v="149"/>
    <n v="42.75"/>
  </r>
  <r>
    <n v="1183"/>
    <x v="70"/>
    <n v="29"/>
    <x v="4"/>
    <s v="789 29th Street"/>
    <x v="3"/>
    <x v="3"/>
    <n v="99999"/>
    <s v="USA"/>
    <x v="3"/>
    <x v="0"/>
    <d v="2014-07-01T00:00:00"/>
    <s v="Shipping Company B"/>
    <s v="Soo Jung Lee"/>
    <s v="789 29th Street"/>
    <x v="3"/>
    <s v="CO"/>
    <n v="99999"/>
    <s v="USA"/>
    <s v="Check"/>
    <x v="19"/>
    <x v="12"/>
    <n v="39"/>
    <n v="98"/>
    <x v="150"/>
    <n v="397.48800000000006"/>
  </r>
  <r>
    <n v="1184"/>
    <x v="66"/>
    <n v="6"/>
    <x v="6"/>
    <s v="123 6th Street"/>
    <x v="5"/>
    <x v="5"/>
    <n v="99999"/>
    <s v="USA"/>
    <x v="4"/>
    <x v="2"/>
    <d v="2014-06-08T00:00:00"/>
    <s v="Shipping Company C"/>
    <s v="Francisco Pérez-Olaeta"/>
    <s v="123 6th Street"/>
    <x v="5"/>
    <s v="WI"/>
    <n v="99999"/>
    <s v="USA"/>
    <s v="Check"/>
    <x v="2"/>
    <x v="1"/>
    <n v="30"/>
    <n v="46"/>
    <x v="65"/>
    <n v="135.24"/>
  </r>
  <r>
    <n v="1185"/>
    <x v="66"/>
    <n v="6"/>
    <x v="6"/>
    <s v="123 6th Street"/>
    <x v="5"/>
    <x v="5"/>
    <n v="99999"/>
    <s v="USA"/>
    <x v="4"/>
    <x v="2"/>
    <d v="2014-06-08T00:00:00"/>
    <s v="Shipping Company C"/>
    <s v="Francisco Pérez-Olaeta"/>
    <s v="123 6th Street"/>
    <x v="5"/>
    <s v="WI"/>
    <n v="99999"/>
    <s v="USA"/>
    <s v="Check"/>
    <x v="3"/>
    <x v="1"/>
    <n v="53"/>
    <n v="14"/>
    <x v="48"/>
    <n v="74.2"/>
  </r>
  <r>
    <n v="1186"/>
    <x v="71"/>
    <n v="4"/>
    <x v="1"/>
    <s v="123 4th Street"/>
    <x v="1"/>
    <x v="1"/>
    <n v="99999"/>
    <s v="USA"/>
    <x v="1"/>
    <x v="1"/>
    <m/>
    <m/>
    <s v="Christina Lee"/>
    <s v="123 4th Street"/>
    <x v="1"/>
    <s v="NY"/>
    <n v="99999"/>
    <s v="USA"/>
    <m/>
    <x v="20"/>
    <x v="9"/>
    <n v="38"/>
    <n v="85"/>
    <x v="151"/>
    <n v="319.77"/>
  </r>
  <r>
    <n v="1187"/>
    <x v="72"/>
    <n v="3"/>
    <x v="5"/>
    <s v="123 3rd Street"/>
    <x v="4"/>
    <x v="4"/>
    <n v="99999"/>
    <s v="USA"/>
    <x v="0"/>
    <x v="0"/>
    <m/>
    <m/>
    <s v="Thomas Axerr"/>
    <s v="123 3rd Street"/>
    <x v="4"/>
    <s v="CA"/>
    <n v="99999"/>
    <s v="USA"/>
    <m/>
    <x v="10"/>
    <x v="0"/>
    <n v="2.99"/>
    <n v="88"/>
    <x v="76"/>
    <n v="25.522639999999999"/>
  </r>
  <r>
    <n v="1188"/>
    <x v="73"/>
    <n v="1"/>
    <x v="11"/>
    <s v="123 1st Street"/>
    <x v="10"/>
    <x v="10"/>
    <n v="99999"/>
    <s v="USA"/>
    <x v="2"/>
    <x v="2"/>
    <m/>
    <m/>
    <s v="Anna Bedecs"/>
    <s v="123 1st Street"/>
    <x v="10"/>
    <s v="WA"/>
    <n v="99999"/>
    <s v="USA"/>
    <m/>
    <x v="10"/>
    <x v="0"/>
    <n v="2.99"/>
    <n v="81"/>
    <x v="152"/>
    <n v="23.976810000000004"/>
  </r>
  <r>
    <n v="1189"/>
    <x v="74"/>
    <n v="28"/>
    <x v="7"/>
    <s v="789 28th Street"/>
    <x v="6"/>
    <x v="6"/>
    <n v="99999"/>
    <s v="USA"/>
    <x v="5"/>
    <x v="3"/>
    <d v="2014-07-30T00:00:00"/>
    <s v="Shipping Company C"/>
    <s v="Amritansh Raghav"/>
    <s v="789 28th Street"/>
    <x v="6"/>
    <s v="TN"/>
    <n v="99999"/>
    <s v="USA"/>
    <s v="Credit Card"/>
    <x v="8"/>
    <x v="4"/>
    <n v="9.65"/>
    <n v="33"/>
    <x v="153"/>
    <n v="30.252749999999999"/>
  </r>
  <r>
    <n v="1190"/>
    <x v="74"/>
    <n v="28"/>
    <x v="7"/>
    <s v="789 28th Street"/>
    <x v="6"/>
    <x v="6"/>
    <n v="99999"/>
    <s v="USA"/>
    <x v="5"/>
    <x v="3"/>
    <d v="2014-07-30T00:00:00"/>
    <s v="Shipping Company C"/>
    <s v="Amritansh Raghav"/>
    <s v="789 28th Street"/>
    <x v="6"/>
    <s v="TN"/>
    <n v="99999"/>
    <s v="USA"/>
    <s v="Credit Card"/>
    <x v="13"/>
    <x v="8"/>
    <n v="18.399999999999999"/>
    <n v="47"/>
    <x v="154"/>
    <n v="90.804000000000002"/>
  </r>
  <r>
    <n v="1191"/>
    <x v="75"/>
    <n v="9"/>
    <x v="12"/>
    <s v="123 9th Street"/>
    <x v="11"/>
    <x v="11"/>
    <n v="99999"/>
    <s v="USA"/>
    <x v="7"/>
    <x v="0"/>
    <d v="2014-07-11T00:00:00"/>
    <s v="Shipping Company A"/>
    <s v="Sven Mortensen"/>
    <s v="123 9th Street"/>
    <x v="11"/>
    <s v="UT"/>
    <n v="99999"/>
    <s v="USA"/>
    <s v="Check"/>
    <x v="14"/>
    <x v="9"/>
    <n v="19.5"/>
    <n v="61"/>
    <x v="155"/>
    <n v="123.70800000000001"/>
  </r>
  <r>
    <n v="1192"/>
    <x v="75"/>
    <n v="9"/>
    <x v="12"/>
    <s v="123 9th Street"/>
    <x v="11"/>
    <x v="11"/>
    <n v="99999"/>
    <s v="USA"/>
    <x v="7"/>
    <x v="0"/>
    <d v="2014-07-11T00:00:00"/>
    <s v="Shipping Company A"/>
    <s v="Sven Mortensen"/>
    <s v="123 9th Street"/>
    <x v="11"/>
    <s v="UT"/>
    <n v="99999"/>
    <s v="USA"/>
    <s v="Check"/>
    <x v="15"/>
    <x v="10"/>
    <n v="34.799999999999997"/>
    <n v="27"/>
    <x v="156"/>
    <n v="95.839199999999991"/>
  </r>
  <r>
    <n v="1193"/>
    <x v="76"/>
    <n v="6"/>
    <x v="6"/>
    <s v="123 6th Street"/>
    <x v="5"/>
    <x v="5"/>
    <n v="99999"/>
    <s v="USA"/>
    <x v="4"/>
    <x v="2"/>
    <d v="2014-07-08T00:00:00"/>
    <s v="Shipping Company B"/>
    <s v="Francisco Pérez-Olaeta"/>
    <s v="123 6th Street"/>
    <x v="5"/>
    <s v="WI"/>
    <n v="99999"/>
    <s v="USA"/>
    <s v="Credit Card"/>
    <x v="0"/>
    <x v="0"/>
    <n v="14"/>
    <n v="84"/>
    <x v="102"/>
    <n v="118.77600000000001"/>
  </r>
  <r>
    <n v="1194"/>
    <x v="77"/>
    <n v="8"/>
    <x v="3"/>
    <s v="123 8th Street"/>
    <x v="2"/>
    <x v="2"/>
    <n v="99999"/>
    <s v="USA"/>
    <x v="2"/>
    <x v="2"/>
    <d v="2014-07-10T00:00:00"/>
    <s v="Shipping Company B"/>
    <s v="Elizabeth Andersen"/>
    <s v="123 8th Street"/>
    <x v="2"/>
    <s v="OR"/>
    <n v="99999"/>
    <s v="USA"/>
    <s v="Check"/>
    <x v="9"/>
    <x v="5"/>
    <n v="40"/>
    <n v="91"/>
    <x v="157"/>
    <n v="360.36"/>
  </r>
  <r>
    <n v="1195"/>
    <x v="77"/>
    <n v="8"/>
    <x v="3"/>
    <s v="123 8th Street"/>
    <x v="2"/>
    <x v="2"/>
    <n v="99999"/>
    <s v="USA"/>
    <x v="2"/>
    <x v="2"/>
    <d v="2014-07-10T00:00:00"/>
    <s v="Shipping Company B"/>
    <s v="Elizabeth Andersen"/>
    <s v="123 8th Street"/>
    <x v="2"/>
    <s v="OR"/>
    <n v="99999"/>
    <s v="USA"/>
    <s v="Check"/>
    <x v="6"/>
    <x v="2"/>
    <n v="9.1999999999999993"/>
    <n v="36"/>
    <x v="158"/>
    <n v="34.444800000000001"/>
  </r>
  <r>
    <n v="1196"/>
    <x v="78"/>
    <n v="25"/>
    <x v="13"/>
    <s v="789 25th Street"/>
    <x v="7"/>
    <x v="7"/>
    <n v="99999"/>
    <s v="USA"/>
    <x v="6"/>
    <x v="1"/>
    <n v="41847"/>
    <s v="Shipping Company A"/>
    <s v="John Rodman"/>
    <s v="789 25th Street"/>
    <x v="7"/>
    <s v="IL"/>
    <n v="99999"/>
    <s v="USA"/>
    <s v="Cash"/>
    <x v="21"/>
    <x v="2"/>
    <n v="10"/>
    <n v="34"/>
    <x v="159"/>
    <n v="34.340000000000003"/>
  </r>
  <r>
    <n v="1197"/>
    <x v="79"/>
    <n v="26"/>
    <x v="14"/>
    <s v="789 26th Street"/>
    <x v="9"/>
    <x v="9"/>
    <n v="99999"/>
    <s v="USA"/>
    <x v="5"/>
    <x v="3"/>
    <n v="41848"/>
    <s v="Shipping Company C"/>
    <s v="Run Liu"/>
    <s v="789 26th Street"/>
    <x v="9"/>
    <s v="FL"/>
    <n v="99999"/>
    <s v="USA"/>
    <s v="Credit Card"/>
    <x v="22"/>
    <x v="13"/>
    <n v="21.35"/>
    <n v="81"/>
    <x v="160"/>
    <n v="178.12305000000003"/>
  </r>
  <r>
    <n v="1198"/>
    <x v="79"/>
    <n v="26"/>
    <x v="14"/>
    <s v="789 26th Street"/>
    <x v="9"/>
    <x v="9"/>
    <n v="99999"/>
    <s v="USA"/>
    <x v="5"/>
    <x v="3"/>
    <n v="41848"/>
    <s v="Shipping Company C"/>
    <s v="Run Liu"/>
    <s v="789 26th Street"/>
    <x v="9"/>
    <s v="FL"/>
    <n v="99999"/>
    <s v="USA"/>
    <s v="Credit Card"/>
    <x v="8"/>
    <x v="4"/>
    <n v="9.65"/>
    <n v="25"/>
    <x v="161"/>
    <n v="23.401250000000001"/>
  </r>
  <r>
    <n v="1199"/>
    <x v="79"/>
    <n v="26"/>
    <x v="14"/>
    <s v="789 26th Street"/>
    <x v="9"/>
    <x v="9"/>
    <n v="99999"/>
    <s v="USA"/>
    <x v="5"/>
    <x v="3"/>
    <n v="41848"/>
    <s v="Shipping Company C"/>
    <s v="Run Liu"/>
    <s v="789 26th Street"/>
    <x v="9"/>
    <s v="FL"/>
    <n v="99999"/>
    <s v="USA"/>
    <s v="Credit Card"/>
    <x v="13"/>
    <x v="8"/>
    <n v="18.399999999999999"/>
    <n v="12"/>
    <x v="162"/>
    <n v="22.08"/>
  </r>
  <r>
    <n v="1200"/>
    <x v="80"/>
    <n v="29"/>
    <x v="4"/>
    <s v="789 29th Street"/>
    <x v="3"/>
    <x v="3"/>
    <n v="99999"/>
    <s v="USA"/>
    <x v="3"/>
    <x v="0"/>
    <d v="2014-07-31T00:00:00"/>
    <s v="Shipping Company B"/>
    <s v="Soo Jung Lee"/>
    <s v="789 29th Street"/>
    <x v="3"/>
    <s v="CO"/>
    <n v="99999"/>
    <s v="USA"/>
    <s v="Check"/>
    <x v="0"/>
    <x v="0"/>
    <n v="14"/>
    <n v="23"/>
    <x v="163"/>
    <n v="30.912000000000003"/>
  </r>
  <r>
    <n v="1201"/>
    <x v="76"/>
    <n v="6"/>
    <x v="6"/>
    <s v="123 6th Street"/>
    <x v="5"/>
    <x v="5"/>
    <n v="99999"/>
    <s v="USA"/>
    <x v="4"/>
    <x v="2"/>
    <d v="2014-07-08T00:00:00"/>
    <s v="Shipping Company C"/>
    <s v="Francisco Pérez-Olaeta"/>
    <s v="123 6th Street"/>
    <x v="5"/>
    <s v="WI"/>
    <n v="99999"/>
    <s v="USA"/>
    <s v="Check"/>
    <x v="7"/>
    <x v="3"/>
    <n v="12.75"/>
    <n v="76"/>
    <x v="164"/>
    <n v="97.869"/>
  </r>
  <r>
    <n v="1203"/>
    <x v="81"/>
    <n v="4"/>
    <x v="1"/>
    <s v="123 4th Street"/>
    <x v="1"/>
    <x v="1"/>
    <n v="99999"/>
    <s v="USA"/>
    <x v="1"/>
    <x v="1"/>
    <d v="2014-07-06T00:00:00"/>
    <s v="Shipping Company A"/>
    <s v="Christina Lee"/>
    <s v="123 4th Street"/>
    <x v="1"/>
    <s v="NY"/>
    <n v="99999"/>
    <s v="USA"/>
    <s v="Credit Card"/>
    <x v="23"/>
    <x v="6"/>
    <n v="81"/>
    <n v="55"/>
    <x v="165"/>
    <n v="445.5"/>
  </r>
  <r>
    <n v="1204"/>
    <x v="81"/>
    <n v="4"/>
    <x v="1"/>
    <s v="123 4th Street"/>
    <x v="1"/>
    <x v="1"/>
    <n v="99999"/>
    <s v="USA"/>
    <x v="1"/>
    <x v="1"/>
    <d v="2014-07-06T00:00:00"/>
    <s v="Shipping Company A"/>
    <s v="Christina Lee"/>
    <s v="123 4th Street"/>
    <x v="1"/>
    <s v="NY"/>
    <n v="99999"/>
    <s v="USA"/>
    <s v="Credit Card"/>
    <x v="24"/>
    <x v="14"/>
    <n v="7"/>
    <n v="19"/>
    <x v="166"/>
    <n v="12.901"/>
  </r>
  <r>
    <n v="1206"/>
    <x v="77"/>
    <n v="8"/>
    <x v="3"/>
    <s v="123 8th Street"/>
    <x v="2"/>
    <x v="2"/>
    <n v="99999"/>
    <s v="USA"/>
    <x v="2"/>
    <x v="2"/>
    <d v="2014-07-10T00:00:00"/>
    <s v="Shipping Company C"/>
    <s v="Elizabeth Andersen"/>
    <s v="123 8th Street"/>
    <x v="2"/>
    <s v="OR"/>
    <n v="99999"/>
    <s v="USA"/>
    <s v="Credit Card"/>
    <x v="15"/>
    <x v="10"/>
    <n v="34.799999999999997"/>
    <n v="27"/>
    <x v="156"/>
    <n v="89.261999999999986"/>
  </r>
  <r>
    <n v="1209"/>
    <x v="82"/>
    <n v="3"/>
    <x v="5"/>
    <s v="123 3rd Street"/>
    <x v="4"/>
    <x v="4"/>
    <n v="99999"/>
    <s v="USA"/>
    <x v="0"/>
    <x v="0"/>
    <d v="2014-07-05T00:00:00"/>
    <s v="Shipping Company B"/>
    <s v="Thomas Axerr"/>
    <s v="123 3rd Street"/>
    <x v="4"/>
    <s v="CA"/>
    <n v="99999"/>
    <s v="USA"/>
    <s v="Cash"/>
    <x v="16"/>
    <x v="7"/>
    <n v="10"/>
    <n v="99"/>
    <x v="82"/>
    <n v="95.039999999999992"/>
  </r>
  <r>
    <n v="1210"/>
    <x v="82"/>
    <n v="3"/>
    <x v="5"/>
    <s v="123 3rd Street"/>
    <x v="4"/>
    <x v="4"/>
    <n v="99999"/>
    <s v="USA"/>
    <x v="0"/>
    <x v="0"/>
    <d v="2014-07-05T00:00:00"/>
    <s v="Shipping Company B"/>
    <s v="Thomas Axerr"/>
    <s v="123 3rd Street"/>
    <x v="4"/>
    <s v="CA"/>
    <n v="99999"/>
    <s v="USA"/>
    <s v="Cash"/>
    <x v="9"/>
    <x v="5"/>
    <n v="40"/>
    <n v="10"/>
    <x v="167"/>
    <n v="40"/>
  </r>
  <r>
    <n v="1214"/>
    <x v="83"/>
    <n v="10"/>
    <x v="8"/>
    <s v="123 10th Street"/>
    <x v="7"/>
    <x v="7"/>
    <n v="99999"/>
    <s v="USA"/>
    <x v="6"/>
    <x v="1"/>
    <d v="2014-07-12T00:00:00"/>
    <s v="Shipping Company B"/>
    <s v="Roland Wacker"/>
    <s v="123 10th Street"/>
    <x v="7"/>
    <s v="IL"/>
    <n v="99999"/>
    <s v="USA"/>
    <s v="Credit Card"/>
    <x v="18"/>
    <x v="1"/>
    <n v="10"/>
    <n v="80"/>
    <x v="168"/>
    <n v="77.599999999999994"/>
  </r>
  <r>
    <n v="1216"/>
    <x v="83"/>
    <n v="10"/>
    <x v="8"/>
    <s v="123 10th Street"/>
    <x v="7"/>
    <x v="7"/>
    <n v="99999"/>
    <s v="USA"/>
    <x v="6"/>
    <x v="1"/>
    <m/>
    <s v="Shipping Company A"/>
    <s v="Roland Wacker"/>
    <s v="123 10th Street"/>
    <x v="7"/>
    <s v="IL"/>
    <n v="99999"/>
    <s v="USA"/>
    <m/>
    <x v="1"/>
    <x v="1"/>
    <n v="3.5"/>
    <n v="27"/>
    <x v="169"/>
    <n v="9.072000000000001"/>
  </r>
  <r>
    <n v="1217"/>
    <x v="84"/>
    <n v="11"/>
    <x v="10"/>
    <s v="123 11th Street"/>
    <x v="9"/>
    <x v="9"/>
    <n v="99999"/>
    <s v="USA"/>
    <x v="5"/>
    <x v="3"/>
    <m/>
    <s v="Shipping Company C"/>
    <s v="Peter Krschne"/>
    <s v="123 11th Street"/>
    <x v="9"/>
    <s v="FL"/>
    <n v="99999"/>
    <s v="USA"/>
    <m/>
    <x v="9"/>
    <x v="5"/>
    <n v="40"/>
    <n v="97"/>
    <x v="170"/>
    <n v="380.24"/>
  </r>
  <r>
    <n v="1218"/>
    <x v="73"/>
    <n v="1"/>
    <x v="11"/>
    <s v="123 1st Street"/>
    <x v="10"/>
    <x v="10"/>
    <n v="99999"/>
    <s v="USA"/>
    <x v="2"/>
    <x v="2"/>
    <m/>
    <s v="Shipping Company C"/>
    <s v="Anna Bedecs"/>
    <s v="123 1st Street"/>
    <x v="10"/>
    <s v="WA"/>
    <n v="99999"/>
    <s v="USA"/>
    <m/>
    <x v="13"/>
    <x v="8"/>
    <n v="18.399999999999999"/>
    <n v="42"/>
    <x v="171"/>
    <n v="80.371200000000002"/>
  </r>
  <r>
    <n v="1219"/>
    <x v="74"/>
    <n v="28"/>
    <x v="7"/>
    <s v="789 28th Street"/>
    <x v="6"/>
    <x v="6"/>
    <n v="99999"/>
    <s v="USA"/>
    <x v="5"/>
    <x v="3"/>
    <n v="41850"/>
    <s v="Shipping Company C"/>
    <s v="Amritansh Raghav"/>
    <s v="789 28th Street"/>
    <x v="6"/>
    <s v="TN"/>
    <n v="99999"/>
    <s v="USA"/>
    <s v="Credit Card"/>
    <x v="5"/>
    <x v="0"/>
    <n v="46"/>
    <n v="24"/>
    <x v="15"/>
    <n v="105.98399999999999"/>
  </r>
  <r>
    <n v="1220"/>
    <x v="75"/>
    <n v="9"/>
    <x v="12"/>
    <s v="123 9th Street"/>
    <x v="11"/>
    <x v="11"/>
    <n v="99999"/>
    <s v="USA"/>
    <x v="7"/>
    <x v="0"/>
    <d v="2014-07-11T00:00:00"/>
    <s v="Shipping Company A"/>
    <s v="Sven Mortensen"/>
    <s v="123 9th Street"/>
    <x v="11"/>
    <s v="UT"/>
    <n v="99999"/>
    <s v="USA"/>
    <s v="Check"/>
    <x v="8"/>
    <x v="4"/>
    <n v="9.65"/>
    <n v="90"/>
    <x v="172"/>
    <n v="83.376000000000005"/>
  </r>
  <r>
    <n v="1221"/>
    <x v="76"/>
    <n v="6"/>
    <x v="6"/>
    <s v="123 6th Street"/>
    <x v="5"/>
    <x v="5"/>
    <n v="99999"/>
    <s v="USA"/>
    <x v="4"/>
    <x v="2"/>
    <d v="2014-07-08T00:00:00"/>
    <s v="Shipping Company B"/>
    <s v="Francisco Pérez-Olaeta"/>
    <s v="123 6th Street"/>
    <x v="5"/>
    <s v="WI"/>
    <n v="99999"/>
    <s v="USA"/>
    <s v="Credit Card"/>
    <x v="7"/>
    <x v="3"/>
    <n v="12.75"/>
    <n v="28"/>
    <x v="173"/>
    <n v="35.700000000000003"/>
  </r>
  <r>
    <n v="1222"/>
    <x v="85"/>
    <n v="28"/>
    <x v="7"/>
    <s v="789 28th Street"/>
    <x v="6"/>
    <x v="6"/>
    <n v="99999"/>
    <s v="USA"/>
    <x v="5"/>
    <x v="3"/>
    <d v="2014-08-30T00:00:00"/>
    <s v="Shipping Company C"/>
    <s v="Amritansh Raghav"/>
    <s v="789 28th Street"/>
    <x v="6"/>
    <s v="TN"/>
    <n v="99999"/>
    <s v="USA"/>
    <s v="Check"/>
    <x v="5"/>
    <x v="0"/>
    <n v="46"/>
    <n v="28"/>
    <x v="174"/>
    <n v="133.95200000000003"/>
  </r>
  <r>
    <n v="1223"/>
    <x v="86"/>
    <n v="8"/>
    <x v="3"/>
    <s v="123 8th Street"/>
    <x v="2"/>
    <x v="2"/>
    <n v="99999"/>
    <s v="USA"/>
    <x v="2"/>
    <x v="2"/>
    <d v="2014-08-10T00:00:00"/>
    <s v="Shipping Company C"/>
    <s v="Elizabeth Andersen"/>
    <s v="123 8th Street"/>
    <x v="2"/>
    <s v="OR"/>
    <n v="99999"/>
    <s v="USA"/>
    <s v="Check"/>
    <x v="7"/>
    <x v="3"/>
    <n v="12.75"/>
    <n v="57"/>
    <x v="175"/>
    <n v="69.768000000000001"/>
  </r>
  <r>
    <n v="1224"/>
    <x v="87"/>
    <n v="10"/>
    <x v="8"/>
    <s v="123 10th Street"/>
    <x v="7"/>
    <x v="7"/>
    <n v="99999"/>
    <s v="USA"/>
    <x v="6"/>
    <x v="1"/>
    <d v="2014-08-12T00:00:00"/>
    <s v="Shipping Company B"/>
    <s v="Roland Wacker"/>
    <s v="123 10th Street"/>
    <x v="7"/>
    <s v="IL"/>
    <n v="99999"/>
    <s v="USA"/>
    <s v="Credit Card"/>
    <x v="10"/>
    <x v="0"/>
    <n v="2.99"/>
    <n v="23"/>
    <x v="176"/>
    <n v="6.6706900000000013"/>
  </r>
  <r>
    <n v="1225"/>
    <x v="88"/>
    <n v="7"/>
    <x v="9"/>
    <s v="123 7th Street"/>
    <x v="8"/>
    <x v="8"/>
    <n v="99999"/>
    <s v="USA"/>
    <x v="2"/>
    <x v="2"/>
    <m/>
    <m/>
    <s v="Ming-Yang Xie"/>
    <s v="123 7th Street"/>
    <x v="8"/>
    <s v="ID"/>
    <n v="99999"/>
    <s v="USA"/>
    <m/>
    <x v="5"/>
    <x v="0"/>
    <n v="46"/>
    <n v="86"/>
    <x v="177"/>
    <n v="399.55600000000004"/>
  </r>
  <r>
    <n v="1226"/>
    <x v="87"/>
    <n v="10"/>
    <x v="8"/>
    <s v="123 10th Street"/>
    <x v="7"/>
    <x v="7"/>
    <n v="99999"/>
    <s v="USA"/>
    <x v="6"/>
    <x v="1"/>
    <d v="2014-08-12T00:00:00"/>
    <s v="Shipping Company A"/>
    <s v="Roland Wacker"/>
    <s v="123 10th Street"/>
    <x v="7"/>
    <s v="IL"/>
    <n v="99999"/>
    <s v="USA"/>
    <m/>
    <x v="11"/>
    <x v="6"/>
    <n v="25"/>
    <n v="47"/>
    <x v="178"/>
    <n v="116.325"/>
  </r>
  <r>
    <n v="1227"/>
    <x v="87"/>
    <n v="10"/>
    <x v="8"/>
    <s v="123 10th Street"/>
    <x v="7"/>
    <x v="7"/>
    <n v="99999"/>
    <s v="USA"/>
    <x v="6"/>
    <x v="1"/>
    <d v="2014-08-12T00:00:00"/>
    <s v="Shipping Company A"/>
    <s v="Roland Wacker"/>
    <s v="123 10th Street"/>
    <x v="7"/>
    <s v="IL"/>
    <n v="99999"/>
    <s v="USA"/>
    <m/>
    <x v="12"/>
    <x v="7"/>
    <n v="22"/>
    <n v="97"/>
    <x v="179"/>
    <n v="221.93600000000001"/>
  </r>
  <r>
    <n v="1228"/>
    <x v="87"/>
    <n v="10"/>
    <x v="8"/>
    <s v="123 10th Street"/>
    <x v="7"/>
    <x v="7"/>
    <n v="99999"/>
    <s v="USA"/>
    <x v="6"/>
    <x v="1"/>
    <d v="2014-08-12T00:00:00"/>
    <s v="Shipping Company A"/>
    <s v="Roland Wacker"/>
    <s v="123 10th Street"/>
    <x v="7"/>
    <s v="IL"/>
    <n v="99999"/>
    <s v="USA"/>
    <m/>
    <x v="6"/>
    <x v="2"/>
    <n v="9.1999999999999993"/>
    <n v="96"/>
    <x v="180"/>
    <n v="86.553599999999989"/>
  </r>
  <r>
    <n v="1229"/>
    <x v="89"/>
    <n v="11"/>
    <x v="10"/>
    <s v="123 11th Street"/>
    <x v="9"/>
    <x v="9"/>
    <n v="99999"/>
    <s v="USA"/>
    <x v="5"/>
    <x v="3"/>
    <m/>
    <s v="Shipping Company C"/>
    <s v="Peter Krschne"/>
    <s v="123 11th Street"/>
    <x v="9"/>
    <s v="FL"/>
    <n v="99999"/>
    <s v="USA"/>
    <m/>
    <x v="1"/>
    <x v="1"/>
    <n v="3.5"/>
    <n v="31"/>
    <x v="181"/>
    <n v="10.850000000000001"/>
  </r>
  <r>
    <n v="1230"/>
    <x v="89"/>
    <n v="11"/>
    <x v="10"/>
    <s v="123 11th Street"/>
    <x v="9"/>
    <x v="9"/>
    <n v="99999"/>
    <s v="USA"/>
    <x v="5"/>
    <x v="3"/>
    <m/>
    <s v="Shipping Company C"/>
    <s v="Peter Krschne"/>
    <s v="123 11th Street"/>
    <x v="9"/>
    <s v="FL"/>
    <n v="99999"/>
    <s v="USA"/>
    <m/>
    <x v="10"/>
    <x v="0"/>
    <n v="2.99"/>
    <n v="52"/>
    <x v="182"/>
    <n v="16.014440000000004"/>
  </r>
  <r>
    <n v="1231"/>
    <x v="90"/>
    <n v="1"/>
    <x v="11"/>
    <s v="123 1st Street"/>
    <x v="10"/>
    <x v="10"/>
    <n v="99999"/>
    <s v="USA"/>
    <x v="2"/>
    <x v="2"/>
    <m/>
    <m/>
    <s v="Anna Bedecs"/>
    <s v="123 1st Street"/>
    <x v="10"/>
    <s v="WA"/>
    <n v="99999"/>
    <s v="USA"/>
    <m/>
    <x v="4"/>
    <x v="0"/>
    <n v="18"/>
    <n v="91"/>
    <x v="183"/>
    <n v="158.886"/>
  </r>
  <r>
    <n v="1232"/>
    <x v="90"/>
    <n v="1"/>
    <x v="11"/>
    <s v="123 1st Street"/>
    <x v="10"/>
    <x v="10"/>
    <n v="99999"/>
    <s v="USA"/>
    <x v="2"/>
    <x v="2"/>
    <m/>
    <m/>
    <s v="Anna Bedecs"/>
    <s v="123 1st Street"/>
    <x v="10"/>
    <s v="WA"/>
    <n v="99999"/>
    <s v="USA"/>
    <m/>
    <x v="5"/>
    <x v="0"/>
    <n v="46"/>
    <n v="14"/>
    <x v="184"/>
    <n v="63.756000000000007"/>
  </r>
  <r>
    <n v="1233"/>
    <x v="90"/>
    <n v="1"/>
    <x v="11"/>
    <s v="123 1st Street"/>
    <x v="10"/>
    <x v="10"/>
    <n v="99999"/>
    <s v="USA"/>
    <x v="2"/>
    <x v="2"/>
    <m/>
    <m/>
    <s v="Anna Bedecs"/>
    <s v="123 1st Street"/>
    <x v="10"/>
    <s v="WA"/>
    <n v="99999"/>
    <s v="USA"/>
    <m/>
    <x v="10"/>
    <x v="0"/>
    <n v="2.99"/>
    <n v="44"/>
    <x v="185"/>
    <n v="13.287560000000001"/>
  </r>
  <r>
    <n v="1234"/>
    <x v="85"/>
    <n v="28"/>
    <x v="7"/>
    <s v="789 28th Street"/>
    <x v="6"/>
    <x v="6"/>
    <n v="99999"/>
    <s v="USA"/>
    <x v="5"/>
    <x v="3"/>
    <d v="2014-08-30T00:00:00"/>
    <s v="Shipping Company C"/>
    <s v="Amritansh Raghav"/>
    <s v="789 28th Street"/>
    <x v="6"/>
    <s v="TN"/>
    <n v="99999"/>
    <s v="USA"/>
    <s v="Credit Card"/>
    <x v="8"/>
    <x v="4"/>
    <n v="9.65"/>
    <n v="97"/>
    <x v="53"/>
    <n v="95.477100000000021"/>
  </r>
  <r>
    <n v="1235"/>
    <x v="85"/>
    <n v="28"/>
    <x v="7"/>
    <s v="789 28th Street"/>
    <x v="6"/>
    <x v="6"/>
    <n v="99999"/>
    <s v="USA"/>
    <x v="5"/>
    <x v="3"/>
    <d v="2014-08-30T00:00:00"/>
    <s v="Shipping Company C"/>
    <s v="Amritansh Raghav"/>
    <s v="789 28th Street"/>
    <x v="6"/>
    <s v="TN"/>
    <n v="99999"/>
    <s v="USA"/>
    <s v="Credit Card"/>
    <x v="13"/>
    <x v="8"/>
    <n v="18.399999999999999"/>
    <n v="80"/>
    <x v="36"/>
    <n v="150.14400000000003"/>
  </r>
  <r>
    <n v="1236"/>
    <x v="91"/>
    <n v="9"/>
    <x v="12"/>
    <s v="123 9th Street"/>
    <x v="11"/>
    <x v="11"/>
    <n v="99999"/>
    <s v="USA"/>
    <x v="7"/>
    <x v="0"/>
    <d v="2014-08-11T00:00:00"/>
    <s v="Shipping Company A"/>
    <s v="Sven Mortensen"/>
    <s v="123 9th Street"/>
    <x v="11"/>
    <s v="UT"/>
    <n v="99999"/>
    <s v="USA"/>
    <s v="Check"/>
    <x v="14"/>
    <x v="9"/>
    <n v="19.5"/>
    <n v="66"/>
    <x v="186"/>
    <n v="132.56100000000001"/>
  </r>
  <r>
    <n v="1237"/>
    <x v="91"/>
    <n v="9"/>
    <x v="12"/>
    <s v="123 9th Street"/>
    <x v="11"/>
    <x v="11"/>
    <n v="99999"/>
    <s v="USA"/>
    <x v="7"/>
    <x v="0"/>
    <d v="2014-08-11T00:00:00"/>
    <s v="Shipping Company A"/>
    <s v="Sven Mortensen"/>
    <s v="123 9th Street"/>
    <x v="11"/>
    <s v="UT"/>
    <n v="99999"/>
    <s v="USA"/>
    <s v="Check"/>
    <x v="15"/>
    <x v="10"/>
    <n v="34.799999999999997"/>
    <n v="32"/>
    <x v="187"/>
    <n v="111.36"/>
  </r>
  <r>
    <n v="1238"/>
    <x v="92"/>
    <n v="6"/>
    <x v="6"/>
    <s v="123 6th Street"/>
    <x v="5"/>
    <x v="5"/>
    <n v="99999"/>
    <s v="USA"/>
    <x v="4"/>
    <x v="2"/>
    <d v="2014-08-08T00:00:00"/>
    <s v="Shipping Company B"/>
    <s v="Francisco Pérez-Olaeta"/>
    <s v="123 6th Street"/>
    <x v="5"/>
    <s v="WI"/>
    <n v="99999"/>
    <s v="USA"/>
    <s v="Credit Card"/>
    <x v="0"/>
    <x v="0"/>
    <n v="14"/>
    <n v="52"/>
    <x v="188"/>
    <n v="72.8"/>
  </r>
  <r>
    <n v="1239"/>
    <x v="86"/>
    <n v="8"/>
    <x v="3"/>
    <s v="123 8th Street"/>
    <x v="2"/>
    <x v="2"/>
    <n v="99999"/>
    <s v="USA"/>
    <x v="2"/>
    <x v="2"/>
    <d v="2014-08-10T00:00:00"/>
    <s v="Shipping Company B"/>
    <s v="Elizabeth Andersen"/>
    <s v="123 8th Street"/>
    <x v="2"/>
    <s v="OR"/>
    <n v="99999"/>
    <s v="USA"/>
    <s v="Check"/>
    <x v="9"/>
    <x v="5"/>
    <n v="40"/>
    <n v="78"/>
    <x v="189"/>
    <n v="318.24"/>
  </r>
  <r>
    <n v="1240"/>
    <x v="86"/>
    <n v="8"/>
    <x v="3"/>
    <s v="123 8th Street"/>
    <x v="2"/>
    <x v="2"/>
    <n v="99999"/>
    <s v="USA"/>
    <x v="2"/>
    <x v="2"/>
    <d v="2014-08-10T00:00:00"/>
    <s v="Shipping Company B"/>
    <s v="Elizabeth Andersen"/>
    <s v="123 8th Street"/>
    <x v="2"/>
    <s v="OR"/>
    <n v="99999"/>
    <s v="USA"/>
    <s v="Check"/>
    <x v="6"/>
    <x v="2"/>
    <n v="9.1999999999999993"/>
    <n v="54"/>
    <x v="190"/>
    <n v="49.183199999999999"/>
  </r>
  <r>
    <n v="1241"/>
    <x v="93"/>
    <n v="25"/>
    <x v="13"/>
    <s v="789 25th Street"/>
    <x v="7"/>
    <x v="7"/>
    <n v="99999"/>
    <s v="USA"/>
    <x v="6"/>
    <x v="1"/>
    <d v="2014-08-27T00:00:00"/>
    <s v="Shipping Company A"/>
    <s v="John Rodman"/>
    <s v="789 25th Street"/>
    <x v="7"/>
    <s v="IL"/>
    <n v="99999"/>
    <s v="USA"/>
    <s v="Cash"/>
    <x v="21"/>
    <x v="2"/>
    <n v="10"/>
    <n v="55"/>
    <x v="62"/>
    <n v="52.25"/>
  </r>
  <r>
    <n v="1242"/>
    <x v="94"/>
    <n v="26"/>
    <x v="14"/>
    <s v="789 26th Street"/>
    <x v="9"/>
    <x v="9"/>
    <n v="99999"/>
    <s v="USA"/>
    <x v="5"/>
    <x v="3"/>
    <d v="2014-08-28T00:00:00"/>
    <s v="Shipping Company C"/>
    <s v="Run Liu"/>
    <s v="789 26th Street"/>
    <x v="9"/>
    <s v="FL"/>
    <n v="99999"/>
    <s v="USA"/>
    <s v="Credit Card"/>
    <x v="22"/>
    <x v="13"/>
    <n v="21.35"/>
    <n v="60"/>
    <x v="191"/>
    <n v="129.381"/>
  </r>
  <r>
    <n v="1243"/>
    <x v="94"/>
    <n v="26"/>
    <x v="14"/>
    <s v="789 26th Street"/>
    <x v="9"/>
    <x v="9"/>
    <n v="99999"/>
    <s v="USA"/>
    <x v="5"/>
    <x v="3"/>
    <d v="2014-08-28T00:00:00"/>
    <s v="Shipping Company C"/>
    <s v="Run Liu"/>
    <s v="789 26th Street"/>
    <x v="9"/>
    <s v="FL"/>
    <n v="99999"/>
    <s v="USA"/>
    <s v="Credit Card"/>
    <x v="8"/>
    <x v="4"/>
    <n v="9.65"/>
    <n v="19"/>
    <x v="192"/>
    <n v="17.41825"/>
  </r>
  <r>
    <n v="1244"/>
    <x v="94"/>
    <n v="26"/>
    <x v="14"/>
    <s v="789 26th Street"/>
    <x v="9"/>
    <x v="9"/>
    <n v="99999"/>
    <s v="USA"/>
    <x v="5"/>
    <x v="3"/>
    <d v="2014-08-28T00:00:00"/>
    <s v="Shipping Company C"/>
    <s v="Run Liu"/>
    <s v="789 26th Street"/>
    <x v="9"/>
    <s v="FL"/>
    <n v="99999"/>
    <s v="USA"/>
    <s v="Credit Card"/>
    <x v="13"/>
    <x v="8"/>
    <n v="18.399999999999999"/>
    <n v="66"/>
    <x v="193"/>
    <n v="125.08320000000001"/>
  </r>
  <r>
    <n v="1245"/>
    <x v="95"/>
    <n v="29"/>
    <x v="4"/>
    <s v="789 29th Street"/>
    <x v="3"/>
    <x v="3"/>
    <n v="99999"/>
    <s v="USA"/>
    <x v="3"/>
    <x v="0"/>
    <d v="2014-08-31T00:00:00"/>
    <s v="Shipping Company B"/>
    <s v="Soo Jung Lee"/>
    <s v="789 29th Street"/>
    <x v="3"/>
    <s v="CO"/>
    <n v="99999"/>
    <s v="USA"/>
    <s v="Check"/>
    <x v="0"/>
    <x v="0"/>
    <n v="14"/>
    <n v="42"/>
    <x v="194"/>
    <n v="59.388000000000005"/>
  </r>
  <r>
    <n v="1246"/>
    <x v="92"/>
    <n v="6"/>
    <x v="6"/>
    <s v="123 6th Street"/>
    <x v="5"/>
    <x v="5"/>
    <n v="99999"/>
    <s v="USA"/>
    <x v="4"/>
    <x v="2"/>
    <n v="41859"/>
    <s v="Shipping Company C"/>
    <s v="Francisco Pérez-Olaeta"/>
    <s v="123 6th Street"/>
    <x v="5"/>
    <s v="WI"/>
    <n v="99999"/>
    <s v="USA"/>
    <s v="Check"/>
    <x v="7"/>
    <x v="3"/>
    <n v="12.75"/>
    <n v="72"/>
    <x v="195"/>
    <n v="89.046000000000006"/>
  </r>
  <r>
    <n v="1248"/>
    <x v="96"/>
    <n v="4"/>
    <x v="1"/>
    <s v="123 4th Street"/>
    <x v="1"/>
    <x v="1"/>
    <n v="99999"/>
    <s v="USA"/>
    <x v="1"/>
    <x v="1"/>
    <n v="41857"/>
    <s v="Shipping Company A"/>
    <s v="Christina Lee"/>
    <s v="123 4th Street"/>
    <x v="1"/>
    <s v="NY"/>
    <n v="99999"/>
    <s v="USA"/>
    <s v="Credit Card"/>
    <x v="23"/>
    <x v="6"/>
    <n v="81"/>
    <n v="32"/>
    <x v="196"/>
    <n v="251.42399999999998"/>
  </r>
  <r>
    <n v="1249"/>
    <x v="96"/>
    <n v="4"/>
    <x v="1"/>
    <s v="123 4th Street"/>
    <x v="1"/>
    <x v="1"/>
    <n v="99999"/>
    <s v="USA"/>
    <x v="1"/>
    <x v="1"/>
    <n v="41857"/>
    <s v="Shipping Company A"/>
    <s v="Christina Lee"/>
    <s v="123 4th Street"/>
    <x v="1"/>
    <s v="NY"/>
    <n v="99999"/>
    <s v="USA"/>
    <s v="Credit Card"/>
    <x v="24"/>
    <x v="14"/>
    <n v="7"/>
    <n v="76"/>
    <x v="197"/>
    <n v="53.732000000000006"/>
  </r>
  <r>
    <n v="1250"/>
    <x v="97"/>
    <n v="10"/>
    <x v="8"/>
    <s v="123 10th Street"/>
    <x v="7"/>
    <x v="7"/>
    <n v="99999"/>
    <s v="USA"/>
    <x v="6"/>
    <x v="1"/>
    <n v="41894"/>
    <s v="Shipping Company A"/>
    <s v="Roland Wacker"/>
    <s v="123 10th Street"/>
    <x v="7"/>
    <s v="IL"/>
    <n v="99999"/>
    <s v="USA"/>
    <m/>
    <x v="6"/>
    <x v="2"/>
    <n v="9.1999999999999993"/>
    <n v="83"/>
    <x v="198"/>
    <n v="74.832799999999992"/>
  </r>
  <r>
    <n v="1251"/>
    <x v="98"/>
    <n v="11"/>
    <x v="10"/>
    <s v="123 11th Street"/>
    <x v="9"/>
    <x v="9"/>
    <n v="99999"/>
    <s v="USA"/>
    <x v="5"/>
    <x v="3"/>
    <m/>
    <s v="Shipping Company C"/>
    <s v="Peter Krschne"/>
    <s v="123 11th Street"/>
    <x v="9"/>
    <s v="FL"/>
    <n v="99999"/>
    <s v="USA"/>
    <m/>
    <x v="1"/>
    <x v="1"/>
    <n v="3.5"/>
    <n v="91"/>
    <x v="199"/>
    <n v="31.213000000000001"/>
  </r>
  <r>
    <n v="1252"/>
    <x v="98"/>
    <n v="11"/>
    <x v="10"/>
    <s v="123 11th Street"/>
    <x v="9"/>
    <x v="9"/>
    <n v="99999"/>
    <s v="USA"/>
    <x v="5"/>
    <x v="3"/>
    <m/>
    <s v="Shipping Company C"/>
    <s v="Peter Krschne"/>
    <s v="123 11th Street"/>
    <x v="9"/>
    <s v="FL"/>
    <n v="99999"/>
    <s v="USA"/>
    <m/>
    <x v="10"/>
    <x v="0"/>
    <n v="2.99"/>
    <n v="64"/>
    <x v="200"/>
    <n v="19.518720000000002"/>
  </r>
  <r>
    <n v="1253"/>
    <x v="99"/>
    <n v="1"/>
    <x v="11"/>
    <s v="123 1st Street"/>
    <x v="10"/>
    <x v="10"/>
    <n v="99999"/>
    <s v="USA"/>
    <x v="2"/>
    <x v="2"/>
    <m/>
    <m/>
    <s v="Anna Bedecs"/>
    <s v="123 1st Street"/>
    <x v="10"/>
    <s v="WA"/>
    <n v="99999"/>
    <s v="USA"/>
    <m/>
    <x v="4"/>
    <x v="0"/>
    <n v="18"/>
    <n v="58"/>
    <x v="137"/>
    <n v="103.35600000000001"/>
  </r>
  <r>
    <n v="1254"/>
    <x v="99"/>
    <n v="1"/>
    <x v="11"/>
    <s v="123 1st Street"/>
    <x v="10"/>
    <x v="10"/>
    <n v="99999"/>
    <s v="USA"/>
    <x v="2"/>
    <x v="2"/>
    <m/>
    <m/>
    <s v="Anna Bedecs"/>
    <s v="123 1st Street"/>
    <x v="10"/>
    <s v="WA"/>
    <n v="99999"/>
    <s v="USA"/>
    <m/>
    <x v="5"/>
    <x v="0"/>
    <n v="46"/>
    <n v="97"/>
    <x v="201"/>
    <n v="464.04800000000006"/>
  </r>
  <r>
    <n v="1255"/>
    <x v="99"/>
    <n v="1"/>
    <x v="11"/>
    <s v="123 1st Street"/>
    <x v="10"/>
    <x v="10"/>
    <n v="99999"/>
    <s v="USA"/>
    <x v="2"/>
    <x v="2"/>
    <m/>
    <m/>
    <s v="Anna Bedecs"/>
    <s v="123 1st Street"/>
    <x v="10"/>
    <s v="WA"/>
    <n v="99999"/>
    <s v="USA"/>
    <m/>
    <x v="10"/>
    <x v="0"/>
    <n v="2.99"/>
    <n v="14"/>
    <x v="202"/>
    <n v="4.35344"/>
  </r>
  <r>
    <n v="1256"/>
    <x v="100"/>
    <n v="28"/>
    <x v="7"/>
    <s v="789 28th Street"/>
    <x v="6"/>
    <x v="6"/>
    <n v="99999"/>
    <s v="USA"/>
    <x v="5"/>
    <x v="3"/>
    <d v="2014-09-30T00:00:00"/>
    <s v="Shipping Company C"/>
    <s v="Amritansh Raghav"/>
    <s v="789 28th Street"/>
    <x v="6"/>
    <s v="TN"/>
    <n v="99999"/>
    <s v="USA"/>
    <s v="Credit Card"/>
    <x v="8"/>
    <x v="4"/>
    <n v="9.65"/>
    <n v="68"/>
    <x v="203"/>
    <n v="64.307600000000008"/>
  </r>
  <r>
    <n v="1257"/>
    <x v="100"/>
    <n v="28"/>
    <x v="7"/>
    <s v="789 28th Street"/>
    <x v="6"/>
    <x v="6"/>
    <n v="99999"/>
    <s v="USA"/>
    <x v="5"/>
    <x v="3"/>
    <n v="41912"/>
    <s v="Shipping Company C"/>
    <s v="Amritansh Raghav"/>
    <s v="789 28th Street"/>
    <x v="6"/>
    <s v="TN"/>
    <n v="99999"/>
    <s v="USA"/>
    <s v="Credit Card"/>
    <x v="13"/>
    <x v="8"/>
    <n v="18.399999999999999"/>
    <n v="32"/>
    <x v="204"/>
    <n v="58.879999999999995"/>
  </r>
  <r>
    <n v="1258"/>
    <x v="101"/>
    <n v="9"/>
    <x v="12"/>
    <s v="123 9th Street"/>
    <x v="11"/>
    <x v="11"/>
    <n v="99999"/>
    <s v="USA"/>
    <x v="7"/>
    <x v="0"/>
    <d v="2014-09-11T00:00:00"/>
    <s v="Shipping Company A"/>
    <s v="Sven Mortensen"/>
    <s v="123 9th Street"/>
    <x v="11"/>
    <s v="UT"/>
    <n v="99999"/>
    <s v="USA"/>
    <s v="Check"/>
    <x v="14"/>
    <x v="9"/>
    <n v="19.5"/>
    <n v="48"/>
    <x v="205"/>
    <n v="94.536000000000016"/>
  </r>
  <r>
    <n v="1259"/>
    <x v="101"/>
    <n v="9"/>
    <x v="12"/>
    <s v="123 9th Street"/>
    <x v="11"/>
    <x v="11"/>
    <n v="99999"/>
    <s v="USA"/>
    <x v="7"/>
    <x v="0"/>
    <d v="2014-09-11T00:00:00"/>
    <s v="Shipping Company A"/>
    <s v="Sven Mortensen"/>
    <s v="123 9th Street"/>
    <x v="11"/>
    <s v="UT"/>
    <n v="99999"/>
    <s v="USA"/>
    <s v="Check"/>
    <x v="15"/>
    <x v="10"/>
    <n v="34.799999999999997"/>
    <n v="57"/>
    <x v="206"/>
    <n v="194.39280000000002"/>
  </r>
  <r>
    <n v="1260"/>
    <x v="102"/>
    <n v="6"/>
    <x v="6"/>
    <s v="123 6th Street"/>
    <x v="5"/>
    <x v="5"/>
    <n v="99999"/>
    <s v="USA"/>
    <x v="4"/>
    <x v="2"/>
    <d v="2014-09-08T00:00:00"/>
    <s v="Shipping Company B"/>
    <s v="Francisco Pérez-Olaeta"/>
    <s v="123 6th Street"/>
    <x v="5"/>
    <s v="WI"/>
    <n v="99999"/>
    <s v="USA"/>
    <s v="Credit Card"/>
    <x v="0"/>
    <x v="0"/>
    <n v="14"/>
    <n v="67"/>
    <x v="207"/>
    <n v="98.490000000000009"/>
  </r>
  <r>
    <n v="1261"/>
    <x v="103"/>
    <n v="8"/>
    <x v="3"/>
    <s v="123 8th Street"/>
    <x v="2"/>
    <x v="2"/>
    <n v="99999"/>
    <s v="USA"/>
    <x v="2"/>
    <x v="2"/>
    <n v="41892"/>
    <s v="Shipping Company B"/>
    <s v="Elizabeth Andersen"/>
    <s v="123 8th Street"/>
    <x v="2"/>
    <s v="OR"/>
    <n v="99999"/>
    <s v="USA"/>
    <s v="Check"/>
    <x v="9"/>
    <x v="5"/>
    <n v="40"/>
    <n v="48"/>
    <x v="208"/>
    <n v="188.16"/>
  </r>
  <r>
    <n v="1262"/>
    <x v="103"/>
    <n v="8"/>
    <x v="3"/>
    <s v="123 8th Street"/>
    <x v="2"/>
    <x v="2"/>
    <n v="99999"/>
    <s v="USA"/>
    <x v="2"/>
    <x v="2"/>
    <n v="41892"/>
    <s v="Shipping Company B"/>
    <s v="Elizabeth Andersen"/>
    <s v="123 8th Street"/>
    <x v="2"/>
    <s v="OR"/>
    <n v="99999"/>
    <s v="USA"/>
    <s v="Check"/>
    <x v="6"/>
    <x v="2"/>
    <n v="9.1999999999999993"/>
    <n v="77"/>
    <x v="209"/>
    <n v="72.256799999999998"/>
  </r>
  <r>
    <n v="1263"/>
    <x v="104"/>
    <n v="25"/>
    <x v="13"/>
    <s v="789 25th Street"/>
    <x v="7"/>
    <x v="7"/>
    <n v="99999"/>
    <s v="USA"/>
    <x v="6"/>
    <x v="1"/>
    <n v="41909"/>
    <s v="Shipping Company A"/>
    <s v="John Rodman"/>
    <s v="789 25th Street"/>
    <x v="7"/>
    <s v="IL"/>
    <n v="99999"/>
    <s v="USA"/>
    <s v="Cash"/>
    <x v="21"/>
    <x v="2"/>
    <n v="10"/>
    <n v="94"/>
    <x v="210"/>
    <n v="97.76"/>
  </r>
  <r>
    <n v="1264"/>
    <x v="105"/>
    <n v="26"/>
    <x v="14"/>
    <s v="789 26th Street"/>
    <x v="9"/>
    <x v="9"/>
    <n v="99999"/>
    <s v="USA"/>
    <x v="5"/>
    <x v="3"/>
    <n v="41910"/>
    <s v="Shipping Company C"/>
    <s v="Run Liu"/>
    <s v="789 26th Street"/>
    <x v="9"/>
    <s v="FL"/>
    <n v="99999"/>
    <s v="USA"/>
    <s v="Credit Card"/>
    <x v="22"/>
    <x v="13"/>
    <n v="21.35"/>
    <n v="54"/>
    <x v="211"/>
    <n v="121.05450000000003"/>
  </r>
  <r>
    <n v="1265"/>
    <x v="105"/>
    <n v="26"/>
    <x v="14"/>
    <s v="789 26th Street"/>
    <x v="9"/>
    <x v="9"/>
    <n v="99999"/>
    <s v="USA"/>
    <x v="5"/>
    <x v="3"/>
    <n v="41910"/>
    <s v="Shipping Company C"/>
    <s v="Run Liu"/>
    <s v="789 26th Street"/>
    <x v="9"/>
    <s v="FL"/>
    <n v="99999"/>
    <s v="USA"/>
    <s v="Credit Card"/>
    <x v="8"/>
    <x v="4"/>
    <n v="9.65"/>
    <n v="43"/>
    <x v="84"/>
    <n v="40.250150000000005"/>
  </r>
  <r>
    <n v="1266"/>
    <x v="105"/>
    <n v="26"/>
    <x v="14"/>
    <s v="789 26th Street"/>
    <x v="9"/>
    <x v="9"/>
    <n v="99999"/>
    <s v="USA"/>
    <x v="5"/>
    <x v="3"/>
    <d v="2014-09-28T00:00:00"/>
    <s v="Shipping Company C"/>
    <s v="Run Liu"/>
    <s v="789 26th Street"/>
    <x v="9"/>
    <s v="FL"/>
    <n v="99999"/>
    <s v="USA"/>
    <s v="Credit Card"/>
    <x v="13"/>
    <x v="8"/>
    <n v="18.399999999999999"/>
    <n v="71"/>
    <x v="143"/>
    <n v="134.55919999999998"/>
  </r>
  <r>
    <n v="1267"/>
    <x v="106"/>
    <n v="29"/>
    <x v="4"/>
    <s v="789 29th Street"/>
    <x v="3"/>
    <x v="3"/>
    <n v="99999"/>
    <s v="USA"/>
    <x v="3"/>
    <x v="0"/>
    <d v="2014-10-01T00:00:00"/>
    <s v="Shipping Company B"/>
    <s v="Soo Jung Lee"/>
    <s v="789 29th Street"/>
    <x v="3"/>
    <s v="CO"/>
    <n v="99999"/>
    <s v="USA"/>
    <s v="Check"/>
    <x v="0"/>
    <x v="0"/>
    <n v="14"/>
    <n v="50"/>
    <x v="212"/>
    <n v="67.2"/>
  </r>
  <r>
    <n v="1268"/>
    <x v="102"/>
    <n v="6"/>
    <x v="6"/>
    <s v="123 6th Street"/>
    <x v="5"/>
    <x v="5"/>
    <n v="99999"/>
    <s v="USA"/>
    <x v="4"/>
    <x v="2"/>
    <d v="2014-09-08T00:00:00"/>
    <s v="Shipping Company C"/>
    <s v="Francisco Pérez-Olaeta"/>
    <s v="123 6th Street"/>
    <x v="5"/>
    <s v="WI"/>
    <n v="99999"/>
    <s v="USA"/>
    <s v="Check"/>
    <x v="7"/>
    <x v="3"/>
    <n v="12.75"/>
    <n v="96"/>
    <x v="146"/>
    <n v="119.952"/>
  </r>
  <r>
    <n v="1270"/>
    <x v="107"/>
    <n v="4"/>
    <x v="1"/>
    <s v="123 4th Street"/>
    <x v="1"/>
    <x v="1"/>
    <n v="99999"/>
    <s v="USA"/>
    <x v="1"/>
    <x v="1"/>
    <d v="2014-09-06T00:00:00"/>
    <s v="Shipping Company A"/>
    <s v="Christina Lee"/>
    <s v="123 4th Street"/>
    <x v="1"/>
    <s v="NY"/>
    <n v="99999"/>
    <s v="USA"/>
    <s v="Credit Card"/>
    <x v="23"/>
    <x v="6"/>
    <n v="81"/>
    <n v="54"/>
    <x v="213"/>
    <n v="437.40000000000003"/>
  </r>
  <r>
    <n v="1271"/>
    <x v="107"/>
    <n v="4"/>
    <x v="1"/>
    <s v="123 4th Street"/>
    <x v="1"/>
    <x v="1"/>
    <n v="99999"/>
    <s v="USA"/>
    <x v="1"/>
    <x v="1"/>
    <d v="2014-09-06T00:00:00"/>
    <s v="Shipping Company A"/>
    <s v="Christina Lee"/>
    <s v="123 4th Street"/>
    <x v="1"/>
    <s v="NY"/>
    <n v="99999"/>
    <s v="USA"/>
    <s v="Credit Card"/>
    <x v="24"/>
    <x v="14"/>
    <n v="7"/>
    <n v="39"/>
    <x v="214"/>
    <n v="27.3"/>
  </r>
  <r>
    <n v="1273"/>
    <x v="103"/>
    <n v="8"/>
    <x v="3"/>
    <s v="123 8th Street"/>
    <x v="2"/>
    <x v="2"/>
    <n v="99999"/>
    <s v="USA"/>
    <x v="2"/>
    <x v="2"/>
    <d v="2014-09-10T00:00:00"/>
    <s v="Shipping Company C"/>
    <s v="Elizabeth Andersen"/>
    <s v="123 8th Street"/>
    <x v="2"/>
    <s v="OR"/>
    <n v="99999"/>
    <s v="USA"/>
    <s v="Credit Card"/>
    <x v="15"/>
    <x v="10"/>
    <n v="34.799999999999997"/>
    <n v="63"/>
    <x v="59"/>
    <n v="230.202"/>
  </r>
  <r>
    <n v="1276"/>
    <x v="108"/>
    <n v="3"/>
    <x v="5"/>
    <s v="123 3rd Street"/>
    <x v="4"/>
    <x v="4"/>
    <n v="99999"/>
    <s v="USA"/>
    <x v="0"/>
    <x v="0"/>
    <d v="2014-09-05T00:00:00"/>
    <s v="Shipping Company B"/>
    <s v="Thomas Axerr"/>
    <s v="123 3rd Street"/>
    <x v="4"/>
    <s v="CA"/>
    <n v="99999"/>
    <s v="USA"/>
    <s v="Cash"/>
    <x v="16"/>
    <x v="7"/>
    <n v="10"/>
    <n v="71"/>
    <x v="215"/>
    <n v="73.13"/>
  </r>
  <r>
    <n v="1277"/>
    <x v="108"/>
    <n v="3"/>
    <x v="5"/>
    <s v="123 3rd Street"/>
    <x v="4"/>
    <x v="4"/>
    <n v="99999"/>
    <s v="USA"/>
    <x v="0"/>
    <x v="0"/>
    <d v="2014-09-05T00:00:00"/>
    <s v="Shipping Company B"/>
    <s v="Thomas Axerr"/>
    <s v="123 3rd Street"/>
    <x v="4"/>
    <s v="CA"/>
    <n v="99999"/>
    <s v="USA"/>
    <s v="Cash"/>
    <x v="9"/>
    <x v="5"/>
    <n v="40"/>
    <n v="88"/>
    <x v="216"/>
    <n v="366.08000000000004"/>
  </r>
  <r>
    <n v="1281"/>
    <x v="97"/>
    <n v="10"/>
    <x v="8"/>
    <s v="123 10th Street"/>
    <x v="7"/>
    <x v="7"/>
    <n v="99999"/>
    <s v="USA"/>
    <x v="6"/>
    <x v="1"/>
    <d v="2014-09-12T00:00:00"/>
    <s v="Shipping Company B"/>
    <s v="Roland Wacker"/>
    <s v="123 10th Street"/>
    <x v="7"/>
    <s v="IL"/>
    <n v="99999"/>
    <s v="USA"/>
    <s v="Credit Card"/>
    <x v="18"/>
    <x v="1"/>
    <n v="10"/>
    <n v="59"/>
    <x v="217"/>
    <n v="59.59"/>
  </r>
  <r>
    <n v="1282"/>
    <x v="109"/>
    <n v="6"/>
    <x v="6"/>
    <s v="123 6th Street"/>
    <x v="5"/>
    <x v="5"/>
    <n v="99999"/>
    <s v="USA"/>
    <x v="4"/>
    <x v="2"/>
    <d v="2014-10-08T00:00:00"/>
    <s v="Shipping Company B"/>
    <s v="Francisco Pérez-Olaeta"/>
    <s v="123 6th Street"/>
    <x v="5"/>
    <s v="WI"/>
    <n v="99999"/>
    <s v="USA"/>
    <s v="Credit Card"/>
    <x v="9"/>
    <x v="5"/>
    <n v="40"/>
    <n v="94"/>
    <x v="218"/>
    <n v="376"/>
  </r>
  <r>
    <n v="1283"/>
    <x v="110"/>
    <n v="28"/>
    <x v="7"/>
    <s v="789 28th Street"/>
    <x v="6"/>
    <x v="6"/>
    <n v="99999"/>
    <s v="USA"/>
    <x v="5"/>
    <x v="3"/>
    <d v="2014-10-30T00:00:00"/>
    <s v="Shipping Company C"/>
    <s v="Amritansh Raghav"/>
    <s v="789 28th Street"/>
    <x v="6"/>
    <s v="TN"/>
    <n v="99999"/>
    <s v="USA"/>
    <s v="Check"/>
    <x v="5"/>
    <x v="0"/>
    <n v="46"/>
    <n v="86"/>
    <x v="177"/>
    <n v="379.77600000000001"/>
  </r>
  <r>
    <n v="1284"/>
    <x v="111"/>
    <n v="8"/>
    <x v="3"/>
    <s v="123 8th Street"/>
    <x v="2"/>
    <x v="2"/>
    <n v="99999"/>
    <s v="USA"/>
    <x v="2"/>
    <x v="2"/>
    <d v="2014-10-10T00:00:00"/>
    <s v="Shipping Company C"/>
    <s v="Elizabeth Andersen"/>
    <s v="123 8th Street"/>
    <x v="2"/>
    <s v="OR"/>
    <n v="99999"/>
    <s v="USA"/>
    <s v="Check"/>
    <x v="7"/>
    <x v="3"/>
    <n v="12.75"/>
    <n v="61"/>
    <x v="219"/>
    <n v="78.552750000000003"/>
  </r>
  <r>
    <n v="1285"/>
    <x v="112"/>
    <n v="10"/>
    <x v="8"/>
    <s v="123 10th Street"/>
    <x v="7"/>
    <x v="7"/>
    <n v="99999"/>
    <s v="USA"/>
    <x v="6"/>
    <x v="1"/>
    <d v="2014-10-12T00:00:00"/>
    <s v="Shipping Company B"/>
    <s v="Roland Wacker"/>
    <s v="123 10th Street"/>
    <x v="7"/>
    <s v="IL"/>
    <n v="99999"/>
    <s v="USA"/>
    <s v="Credit Card"/>
    <x v="10"/>
    <x v="0"/>
    <n v="2.99"/>
    <n v="32"/>
    <x v="220"/>
    <n v="9.7593600000000009"/>
  </r>
  <r>
    <n v="1286"/>
    <x v="113"/>
    <n v="7"/>
    <x v="9"/>
    <s v="123 7th Street"/>
    <x v="8"/>
    <x v="8"/>
    <n v="99999"/>
    <s v="USA"/>
    <x v="2"/>
    <x v="2"/>
    <m/>
    <m/>
    <s v="Ming-Yang Xie"/>
    <s v="123 7th Street"/>
    <x v="8"/>
    <s v="ID"/>
    <n v="99999"/>
    <s v="USA"/>
    <m/>
    <x v="5"/>
    <x v="0"/>
    <n v="46"/>
    <n v="62"/>
    <x v="221"/>
    <n v="290.904"/>
  </r>
  <r>
    <n v="1287"/>
    <x v="112"/>
    <n v="10"/>
    <x v="8"/>
    <s v="123 10th Street"/>
    <x v="7"/>
    <x v="7"/>
    <n v="99999"/>
    <s v="USA"/>
    <x v="6"/>
    <x v="1"/>
    <d v="2014-10-12T00:00:00"/>
    <s v="Shipping Company A"/>
    <s v="Roland Wacker"/>
    <s v="123 10th Street"/>
    <x v="7"/>
    <s v="IL"/>
    <n v="99999"/>
    <s v="USA"/>
    <m/>
    <x v="11"/>
    <x v="6"/>
    <n v="25"/>
    <n v="60"/>
    <x v="222"/>
    <n v="154.5"/>
  </r>
  <r>
    <n v="1288"/>
    <x v="112"/>
    <n v="10"/>
    <x v="8"/>
    <s v="123 10th Street"/>
    <x v="7"/>
    <x v="7"/>
    <n v="99999"/>
    <s v="USA"/>
    <x v="6"/>
    <x v="1"/>
    <d v="2014-10-12T00:00:00"/>
    <s v="Shipping Company A"/>
    <s v="Roland Wacker"/>
    <s v="123 10th Street"/>
    <x v="7"/>
    <s v="IL"/>
    <n v="99999"/>
    <s v="USA"/>
    <m/>
    <x v="12"/>
    <x v="7"/>
    <n v="22"/>
    <n v="51"/>
    <x v="223"/>
    <n v="109.956"/>
  </r>
  <r>
    <n v="1289"/>
    <x v="112"/>
    <n v="10"/>
    <x v="8"/>
    <s v="123 10th Street"/>
    <x v="7"/>
    <x v="7"/>
    <n v="99999"/>
    <s v="USA"/>
    <x v="6"/>
    <x v="1"/>
    <d v="2014-10-12T00:00:00"/>
    <s v="Shipping Company A"/>
    <s v="Roland Wacker"/>
    <s v="123 10th Street"/>
    <x v="7"/>
    <s v="IL"/>
    <n v="99999"/>
    <s v="USA"/>
    <m/>
    <x v="6"/>
    <x v="2"/>
    <n v="9.1999999999999993"/>
    <n v="49"/>
    <x v="224"/>
    <n v="44.629199999999997"/>
  </r>
  <r>
    <n v="1290"/>
    <x v="114"/>
    <n v="11"/>
    <x v="10"/>
    <s v="123 11th Street"/>
    <x v="9"/>
    <x v="9"/>
    <n v="99999"/>
    <s v="USA"/>
    <x v="5"/>
    <x v="3"/>
    <m/>
    <s v="Shipping Company C"/>
    <s v="Peter Krschne"/>
    <s v="123 11th Street"/>
    <x v="9"/>
    <s v="FL"/>
    <n v="99999"/>
    <s v="USA"/>
    <m/>
    <x v="1"/>
    <x v="1"/>
    <n v="3.5"/>
    <n v="20"/>
    <x v="225"/>
    <n v="6.93"/>
  </r>
  <r>
    <n v="1291"/>
    <x v="114"/>
    <n v="11"/>
    <x v="10"/>
    <s v="123 11th Street"/>
    <x v="9"/>
    <x v="9"/>
    <n v="99999"/>
    <s v="USA"/>
    <x v="5"/>
    <x v="3"/>
    <m/>
    <s v="Shipping Company C"/>
    <s v="Peter Krschne"/>
    <s v="123 11th Street"/>
    <x v="9"/>
    <s v="FL"/>
    <n v="99999"/>
    <s v="USA"/>
    <m/>
    <x v="10"/>
    <x v="0"/>
    <n v="2.99"/>
    <n v="49"/>
    <x v="20"/>
    <n v="14.651000000000003"/>
  </r>
  <r>
    <n v="1292"/>
    <x v="115"/>
    <n v="1"/>
    <x v="11"/>
    <s v="123 1st Street"/>
    <x v="10"/>
    <x v="10"/>
    <n v="99999"/>
    <s v="USA"/>
    <x v="2"/>
    <x v="2"/>
    <m/>
    <m/>
    <s v="Anna Bedecs"/>
    <s v="123 1st Street"/>
    <x v="10"/>
    <s v="WA"/>
    <n v="99999"/>
    <s v="USA"/>
    <m/>
    <x v="4"/>
    <x v="0"/>
    <n v="18"/>
    <n v="22"/>
    <x v="226"/>
    <n v="38.015999999999998"/>
  </r>
  <r>
    <n v="1293"/>
    <x v="115"/>
    <n v="1"/>
    <x v="11"/>
    <s v="123 1st Street"/>
    <x v="10"/>
    <x v="10"/>
    <n v="99999"/>
    <s v="USA"/>
    <x v="2"/>
    <x v="2"/>
    <m/>
    <m/>
    <s v="Anna Bedecs"/>
    <s v="123 1st Street"/>
    <x v="10"/>
    <s v="WA"/>
    <n v="99999"/>
    <s v="USA"/>
    <m/>
    <x v="5"/>
    <x v="0"/>
    <n v="46"/>
    <n v="73"/>
    <x v="227"/>
    <n v="339.15800000000002"/>
  </r>
  <r>
    <n v="1294"/>
    <x v="115"/>
    <n v="1"/>
    <x v="11"/>
    <s v="123 1st Street"/>
    <x v="10"/>
    <x v="10"/>
    <n v="99999"/>
    <s v="USA"/>
    <x v="2"/>
    <x v="2"/>
    <m/>
    <m/>
    <s v="Anna Bedecs"/>
    <s v="123 1st Street"/>
    <x v="10"/>
    <s v="WA"/>
    <n v="99999"/>
    <s v="USA"/>
    <m/>
    <x v="10"/>
    <x v="0"/>
    <n v="2.99"/>
    <n v="85"/>
    <x v="228"/>
    <n v="24.652550000000002"/>
  </r>
  <r>
    <n v="1295"/>
    <x v="110"/>
    <n v="28"/>
    <x v="7"/>
    <s v="789 28th Street"/>
    <x v="6"/>
    <x v="6"/>
    <n v="99999"/>
    <s v="USA"/>
    <x v="5"/>
    <x v="3"/>
    <d v="2014-10-30T00:00:00"/>
    <s v="Shipping Company C"/>
    <s v="Amritansh Raghav"/>
    <s v="789 28th Street"/>
    <x v="6"/>
    <s v="TN"/>
    <n v="99999"/>
    <s v="USA"/>
    <s v="Credit Card"/>
    <x v="8"/>
    <x v="4"/>
    <n v="9.65"/>
    <n v="44"/>
    <x v="229"/>
    <n v="44.158400000000007"/>
  </r>
  <r>
    <n v="1296"/>
    <x v="110"/>
    <n v="28"/>
    <x v="7"/>
    <s v="789 28th Street"/>
    <x v="6"/>
    <x v="6"/>
    <n v="99999"/>
    <s v="USA"/>
    <x v="5"/>
    <x v="3"/>
    <d v="2014-10-30T00:00:00"/>
    <s v="Shipping Company C"/>
    <s v="Amritansh Raghav"/>
    <s v="789 28th Street"/>
    <x v="6"/>
    <s v="TN"/>
    <n v="99999"/>
    <s v="USA"/>
    <s v="Credit Card"/>
    <x v="13"/>
    <x v="8"/>
    <n v="18.399999999999999"/>
    <n v="24"/>
    <x v="230"/>
    <n v="42.835199999999993"/>
  </r>
  <r>
    <n v="1297"/>
    <x v="116"/>
    <n v="9"/>
    <x v="12"/>
    <s v="123 9th Street"/>
    <x v="11"/>
    <x v="11"/>
    <n v="99999"/>
    <s v="USA"/>
    <x v="7"/>
    <x v="0"/>
    <d v="2014-10-11T00:00:00"/>
    <s v="Shipping Company A"/>
    <s v="Sven Mortensen"/>
    <s v="123 9th Street"/>
    <x v="11"/>
    <s v="UT"/>
    <n v="99999"/>
    <s v="USA"/>
    <s v="Check"/>
    <x v="14"/>
    <x v="9"/>
    <n v="19.5"/>
    <n v="64"/>
    <x v="231"/>
    <n v="119.80800000000001"/>
  </r>
  <r>
    <n v="1298"/>
    <x v="116"/>
    <n v="9"/>
    <x v="12"/>
    <s v="123 9th Street"/>
    <x v="11"/>
    <x v="11"/>
    <n v="99999"/>
    <s v="USA"/>
    <x v="7"/>
    <x v="0"/>
    <d v="2014-10-11T00:00:00"/>
    <s v="Shipping Company A"/>
    <s v="Sven Mortensen"/>
    <s v="123 9th Street"/>
    <x v="11"/>
    <s v="UT"/>
    <n v="99999"/>
    <s v="USA"/>
    <s v="Check"/>
    <x v="15"/>
    <x v="10"/>
    <n v="34.799999999999997"/>
    <n v="70"/>
    <x v="232"/>
    <n v="246.03600000000003"/>
  </r>
  <r>
    <n v="1299"/>
    <x v="109"/>
    <n v="6"/>
    <x v="6"/>
    <s v="123 6th Street"/>
    <x v="5"/>
    <x v="5"/>
    <n v="99999"/>
    <s v="USA"/>
    <x v="4"/>
    <x v="2"/>
    <d v="2014-10-08T00:00:00"/>
    <s v="Shipping Company B"/>
    <s v="Francisco Pérez-Olaeta"/>
    <s v="123 6th Street"/>
    <x v="5"/>
    <s v="WI"/>
    <n v="99999"/>
    <s v="USA"/>
    <s v="Credit Card"/>
    <x v="0"/>
    <x v="0"/>
    <n v="14"/>
    <n v="98"/>
    <x v="233"/>
    <n v="138.57200000000003"/>
  </r>
  <r>
    <n v="1300"/>
    <x v="111"/>
    <n v="8"/>
    <x v="3"/>
    <s v="123 8th Street"/>
    <x v="2"/>
    <x v="2"/>
    <n v="99999"/>
    <s v="USA"/>
    <x v="2"/>
    <x v="2"/>
    <d v="2014-10-10T00:00:00"/>
    <s v="Shipping Company B"/>
    <s v="Elizabeth Andersen"/>
    <s v="123 8th Street"/>
    <x v="2"/>
    <s v="OR"/>
    <n v="99999"/>
    <s v="USA"/>
    <s v="Check"/>
    <x v="9"/>
    <x v="5"/>
    <n v="40"/>
    <n v="48"/>
    <x v="208"/>
    <n v="188.16"/>
  </r>
  <r>
    <n v="1301"/>
    <x v="111"/>
    <n v="8"/>
    <x v="3"/>
    <s v="123 8th Street"/>
    <x v="2"/>
    <x v="2"/>
    <n v="99999"/>
    <s v="USA"/>
    <x v="2"/>
    <x v="2"/>
    <d v="2014-10-10T00:00:00"/>
    <s v="Shipping Company B"/>
    <s v="Elizabeth Andersen"/>
    <s v="123 8th Street"/>
    <x v="2"/>
    <s v="OR"/>
    <n v="99999"/>
    <s v="USA"/>
    <s v="Check"/>
    <x v="6"/>
    <x v="2"/>
    <n v="9.1999999999999993"/>
    <n v="100"/>
    <x v="234"/>
    <n v="91.08"/>
  </r>
  <r>
    <n v="1302"/>
    <x v="117"/>
    <n v="25"/>
    <x v="13"/>
    <s v="789 25th Street"/>
    <x v="7"/>
    <x v="7"/>
    <n v="99999"/>
    <s v="USA"/>
    <x v="6"/>
    <x v="1"/>
    <d v="2014-10-27T00:00:00"/>
    <s v="Shipping Company A"/>
    <s v="John Rodman"/>
    <s v="789 25th Street"/>
    <x v="7"/>
    <s v="IL"/>
    <n v="99999"/>
    <s v="USA"/>
    <s v="Cash"/>
    <x v="21"/>
    <x v="2"/>
    <n v="10"/>
    <n v="90"/>
    <x v="235"/>
    <n v="87.3"/>
  </r>
  <r>
    <n v="1303"/>
    <x v="118"/>
    <n v="26"/>
    <x v="14"/>
    <s v="789 26th Street"/>
    <x v="9"/>
    <x v="9"/>
    <n v="99999"/>
    <s v="USA"/>
    <x v="5"/>
    <x v="3"/>
    <d v="2014-10-28T00:00:00"/>
    <s v="Shipping Company C"/>
    <s v="Run Liu"/>
    <s v="789 26th Street"/>
    <x v="9"/>
    <s v="FL"/>
    <n v="99999"/>
    <s v="USA"/>
    <s v="Credit Card"/>
    <x v="22"/>
    <x v="13"/>
    <n v="21.35"/>
    <n v="49"/>
    <x v="236"/>
    <n v="102.5227"/>
  </r>
  <r>
    <n v="1304"/>
    <x v="118"/>
    <n v="26"/>
    <x v="14"/>
    <s v="789 26th Street"/>
    <x v="9"/>
    <x v="9"/>
    <n v="99999"/>
    <s v="USA"/>
    <x v="5"/>
    <x v="3"/>
    <d v="2014-10-28T00:00:00"/>
    <s v="Shipping Company C"/>
    <s v="Run Liu"/>
    <s v="789 26th Street"/>
    <x v="9"/>
    <s v="FL"/>
    <n v="99999"/>
    <s v="USA"/>
    <s v="Credit Card"/>
    <x v="8"/>
    <x v="4"/>
    <n v="9.65"/>
    <n v="71"/>
    <x v="237"/>
    <n v="65.7744"/>
  </r>
  <r>
    <n v="1305"/>
    <x v="118"/>
    <n v="26"/>
    <x v="14"/>
    <s v="789 26th Street"/>
    <x v="9"/>
    <x v="9"/>
    <n v="99999"/>
    <s v="USA"/>
    <x v="5"/>
    <x v="3"/>
    <d v="2014-10-28T00:00:00"/>
    <s v="Shipping Company C"/>
    <s v="Run Liu"/>
    <s v="789 26th Street"/>
    <x v="9"/>
    <s v="FL"/>
    <n v="99999"/>
    <s v="USA"/>
    <s v="Credit Card"/>
    <x v="13"/>
    <x v="8"/>
    <n v="18.399999999999999"/>
    <n v="10"/>
    <x v="238"/>
    <n v="19.136000000000003"/>
  </r>
  <r>
    <n v="1306"/>
    <x v="119"/>
    <n v="29"/>
    <x v="4"/>
    <s v="789 29th Street"/>
    <x v="3"/>
    <x v="3"/>
    <n v="99999"/>
    <s v="USA"/>
    <x v="3"/>
    <x v="0"/>
    <d v="2014-10-31T00:00:00"/>
    <s v="Shipping Company B"/>
    <s v="Soo Jung Lee"/>
    <s v="789 29th Street"/>
    <x v="3"/>
    <s v="CO"/>
    <n v="99999"/>
    <s v="USA"/>
    <s v="Check"/>
    <x v="0"/>
    <x v="0"/>
    <n v="14"/>
    <n v="78"/>
    <x v="239"/>
    <n v="112.476"/>
  </r>
  <r>
    <n v="1307"/>
    <x v="109"/>
    <n v="6"/>
    <x v="6"/>
    <s v="123 6th Street"/>
    <x v="5"/>
    <x v="5"/>
    <n v="99999"/>
    <s v="USA"/>
    <x v="4"/>
    <x v="2"/>
    <d v="2014-10-08T00:00:00"/>
    <s v="Shipping Company C"/>
    <s v="Francisco Pérez-Olaeta"/>
    <s v="123 6th Street"/>
    <x v="5"/>
    <s v="WI"/>
    <n v="99999"/>
    <s v="USA"/>
    <s v="Check"/>
    <x v="7"/>
    <x v="3"/>
    <n v="12.75"/>
    <n v="44"/>
    <x v="134"/>
    <n v="53.856000000000002"/>
  </r>
  <r>
    <n v="1309"/>
    <x v="120"/>
    <n v="4"/>
    <x v="1"/>
    <s v="123 4th Street"/>
    <x v="1"/>
    <x v="1"/>
    <n v="99999"/>
    <s v="USA"/>
    <x v="1"/>
    <x v="1"/>
    <d v="2014-10-06T00:00:00"/>
    <s v="Shipping Company A"/>
    <s v="Christina Lee"/>
    <s v="123 4th Street"/>
    <x v="1"/>
    <s v="NY"/>
    <n v="99999"/>
    <s v="USA"/>
    <s v="Credit Card"/>
    <x v="23"/>
    <x v="6"/>
    <n v="81"/>
    <n v="82"/>
    <x v="240"/>
    <n v="697.41000000000008"/>
  </r>
  <r>
    <n v="1310"/>
    <x v="120"/>
    <n v="4"/>
    <x v="1"/>
    <s v="123 4th Street"/>
    <x v="1"/>
    <x v="1"/>
    <n v="99999"/>
    <s v="USA"/>
    <x v="1"/>
    <x v="1"/>
    <d v="2014-10-06T00:00:00"/>
    <s v="Shipping Company A"/>
    <s v="Christina Lee"/>
    <s v="123 4th Street"/>
    <x v="1"/>
    <s v="NY"/>
    <n v="99999"/>
    <s v="USA"/>
    <s v="Credit Card"/>
    <x v="24"/>
    <x v="14"/>
    <n v="7"/>
    <n v="29"/>
    <x v="241"/>
    <n v="20.3"/>
  </r>
  <r>
    <n v="1312"/>
    <x v="111"/>
    <n v="8"/>
    <x v="3"/>
    <s v="123 8th Street"/>
    <x v="2"/>
    <x v="2"/>
    <n v="99999"/>
    <s v="USA"/>
    <x v="2"/>
    <x v="2"/>
    <d v="2014-10-10T00:00:00"/>
    <s v="Shipping Company C"/>
    <s v="Elizabeth Andersen"/>
    <s v="123 8th Street"/>
    <x v="2"/>
    <s v="OR"/>
    <n v="99999"/>
    <s v="USA"/>
    <s v="Credit Card"/>
    <x v="15"/>
    <x v="10"/>
    <n v="34.799999999999997"/>
    <n v="93"/>
    <x v="242"/>
    <n v="313.93079999999998"/>
  </r>
  <r>
    <n v="1315"/>
    <x v="121"/>
    <n v="3"/>
    <x v="5"/>
    <s v="123 3rd Street"/>
    <x v="4"/>
    <x v="4"/>
    <n v="99999"/>
    <s v="USA"/>
    <x v="0"/>
    <x v="0"/>
    <d v="2014-10-05T00:00:00"/>
    <s v="Shipping Company B"/>
    <s v="Thomas Axerr"/>
    <s v="123 3rd Street"/>
    <x v="4"/>
    <s v="CA"/>
    <n v="99999"/>
    <s v="USA"/>
    <s v="Cash"/>
    <x v="16"/>
    <x v="7"/>
    <n v="10"/>
    <n v="11"/>
    <x v="243"/>
    <n v="11.440000000000001"/>
  </r>
  <r>
    <n v="1316"/>
    <x v="121"/>
    <n v="3"/>
    <x v="5"/>
    <s v="123 3rd Street"/>
    <x v="4"/>
    <x v="4"/>
    <n v="99999"/>
    <s v="USA"/>
    <x v="0"/>
    <x v="0"/>
    <d v="2014-10-05T00:00:00"/>
    <s v="Shipping Company B"/>
    <s v="Thomas Axerr"/>
    <s v="123 3rd Street"/>
    <x v="4"/>
    <s v="CA"/>
    <n v="99999"/>
    <s v="USA"/>
    <s v="Cash"/>
    <x v="9"/>
    <x v="5"/>
    <n v="40"/>
    <n v="91"/>
    <x v="157"/>
    <n v="364"/>
  </r>
  <r>
    <n v="1320"/>
    <x v="112"/>
    <n v="10"/>
    <x v="8"/>
    <s v="123 10th Street"/>
    <x v="7"/>
    <x v="7"/>
    <n v="99999"/>
    <s v="USA"/>
    <x v="6"/>
    <x v="1"/>
    <d v="2014-10-12T00:00:00"/>
    <s v="Shipping Company B"/>
    <s v="Roland Wacker"/>
    <s v="123 10th Street"/>
    <x v="7"/>
    <s v="IL"/>
    <n v="99999"/>
    <s v="USA"/>
    <s v="Credit Card"/>
    <x v="18"/>
    <x v="1"/>
    <n v="10"/>
    <n v="12"/>
    <x v="244"/>
    <n v="12.36"/>
  </r>
  <r>
    <n v="1322"/>
    <x v="112"/>
    <n v="10"/>
    <x v="8"/>
    <s v="123 10th Street"/>
    <x v="7"/>
    <x v="7"/>
    <n v="99999"/>
    <s v="USA"/>
    <x v="6"/>
    <x v="1"/>
    <m/>
    <s v="Shipping Company A"/>
    <s v="Roland Wacker"/>
    <s v="123 10th Street"/>
    <x v="7"/>
    <s v="IL"/>
    <n v="99999"/>
    <s v="USA"/>
    <m/>
    <x v="1"/>
    <x v="1"/>
    <n v="3.5"/>
    <n v="78"/>
    <x v="214"/>
    <n v="27.3"/>
  </r>
  <r>
    <n v="1323"/>
    <x v="114"/>
    <n v="11"/>
    <x v="10"/>
    <s v="123 11th Street"/>
    <x v="9"/>
    <x v="9"/>
    <n v="99999"/>
    <s v="USA"/>
    <x v="5"/>
    <x v="3"/>
    <m/>
    <s v="Shipping Company C"/>
    <s v="Peter Krschne"/>
    <s v="123 11th Street"/>
    <x v="9"/>
    <s v="FL"/>
    <n v="99999"/>
    <s v="USA"/>
    <m/>
    <x v="9"/>
    <x v="5"/>
    <n v="40"/>
    <n v="60"/>
    <x v="245"/>
    <n v="228"/>
  </r>
  <r>
    <n v="1324"/>
    <x v="115"/>
    <n v="1"/>
    <x v="11"/>
    <s v="123 1st Street"/>
    <x v="10"/>
    <x v="10"/>
    <n v="99999"/>
    <s v="USA"/>
    <x v="2"/>
    <x v="2"/>
    <m/>
    <s v="Shipping Company C"/>
    <s v="Anna Bedecs"/>
    <s v="123 1st Street"/>
    <x v="10"/>
    <s v="WA"/>
    <n v="99999"/>
    <s v="USA"/>
    <m/>
    <x v="13"/>
    <x v="8"/>
    <n v="18.399999999999999"/>
    <n v="23"/>
    <x v="246"/>
    <n v="43.589600000000004"/>
  </r>
  <r>
    <n v="1325"/>
    <x v="110"/>
    <n v="28"/>
    <x v="7"/>
    <s v="789 28th Street"/>
    <x v="6"/>
    <x v="6"/>
    <n v="99999"/>
    <s v="USA"/>
    <x v="5"/>
    <x v="3"/>
    <d v="2014-10-30T00:00:00"/>
    <s v="Shipping Company C"/>
    <s v="Amritansh Raghav"/>
    <s v="789 28th Street"/>
    <x v="6"/>
    <s v="TN"/>
    <n v="99999"/>
    <s v="USA"/>
    <s v="Credit Card"/>
    <x v="5"/>
    <x v="0"/>
    <n v="46"/>
    <n v="34"/>
    <x v="247"/>
    <n v="157.964"/>
  </r>
  <r>
    <n v="1326"/>
    <x v="116"/>
    <n v="9"/>
    <x v="12"/>
    <s v="123 9th Street"/>
    <x v="11"/>
    <x v="11"/>
    <n v="99999"/>
    <s v="USA"/>
    <x v="7"/>
    <x v="0"/>
    <d v="2014-10-11T00:00:00"/>
    <s v="Shipping Company A"/>
    <s v="Sven Mortensen"/>
    <s v="123 9th Street"/>
    <x v="11"/>
    <s v="UT"/>
    <n v="99999"/>
    <s v="USA"/>
    <s v="Check"/>
    <x v="8"/>
    <x v="4"/>
    <n v="9.65"/>
    <n v="89"/>
    <x v="248"/>
    <n v="86.743850000000009"/>
  </r>
  <r>
    <n v="1327"/>
    <x v="109"/>
    <n v="6"/>
    <x v="6"/>
    <s v="123 6th Street"/>
    <x v="5"/>
    <x v="5"/>
    <n v="99999"/>
    <s v="USA"/>
    <x v="4"/>
    <x v="2"/>
    <d v="2014-10-08T00:00:00"/>
    <s v="Shipping Company B"/>
    <s v="Francisco Pérez-Olaeta"/>
    <s v="123 6th Street"/>
    <x v="5"/>
    <s v="WI"/>
    <n v="99999"/>
    <s v="USA"/>
    <s v="Credit Card"/>
    <x v="7"/>
    <x v="3"/>
    <n v="12.75"/>
    <n v="82"/>
    <x v="249"/>
    <n v="103.50450000000001"/>
  </r>
  <r>
    <n v="1328"/>
    <x v="111"/>
    <n v="8"/>
    <x v="3"/>
    <s v="123 8th Street"/>
    <x v="2"/>
    <x v="2"/>
    <n v="99999"/>
    <s v="USA"/>
    <x v="2"/>
    <x v="2"/>
    <d v="2014-10-10T00:00:00"/>
    <s v="Shipping Company B"/>
    <s v="Elizabeth Andersen"/>
    <s v="123 8th Street"/>
    <x v="2"/>
    <s v="OR"/>
    <n v="99999"/>
    <s v="USA"/>
    <s v="Check"/>
    <x v="7"/>
    <x v="3"/>
    <n v="12.75"/>
    <n v="43"/>
    <x v="250"/>
    <n v="52.631999999999998"/>
  </r>
  <r>
    <n v="1329"/>
    <x v="122"/>
    <n v="10"/>
    <x v="8"/>
    <s v="123 10th Street"/>
    <x v="7"/>
    <x v="7"/>
    <n v="99999"/>
    <s v="USA"/>
    <x v="6"/>
    <x v="1"/>
    <d v="2014-11-12T00:00:00"/>
    <s v="Shipping Company A"/>
    <s v="Roland Wacker"/>
    <s v="123 10th Street"/>
    <x v="7"/>
    <s v="IL"/>
    <n v="99999"/>
    <s v="USA"/>
    <m/>
    <x v="12"/>
    <x v="7"/>
    <n v="22"/>
    <n v="96"/>
    <x v="251"/>
    <n v="221.76000000000002"/>
  </r>
  <r>
    <n v="1330"/>
    <x v="122"/>
    <n v="10"/>
    <x v="8"/>
    <s v="123 10th Street"/>
    <x v="7"/>
    <x v="7"/>
    <n v="99999"/>
    <s v="USA"/>
    <x v="6"/>
    <x v="1"/>
    <d v="2014-11-12T00:00:00"/>
    <s v="Shipping Company A"/>
    <s v="Roland Wacker"/>
    <s v="123 10th Street"/>
    <x v="7"/>
    <s v="IL"/>
    <n v="99999"/>
    <s v="USA"/>
    <m/>
    <x v="6"/>
    <x v="2"/>
    <n v="9.1999999999999993"/>
    <n v="34"/>
    <x v="252"/>
    <n v="31.279999999999998"/>
  </r>
  <r>
    <n v="1331"/>
    <x v="123"/>
    <n v="11"/>
    <x v="10"/>
    <s v="123 11th Street"/>
    <x v="9"/>
    <x v="9"/>
    <n v="99999"/>
    <s v="USA"/>
    <x v="5"/>
    <x v="3"/>
    <m/>
    <s v="Shipping Company C"/>
    <s v="Peter Krschne"/>
    <s v="123 11th Street"/>
    <x v="9"/>
    <s v="FL"/>
    <n v="99999"/>
    <s v="USA"/>
    <m/>
    <x v="1"/>
    <x v="1"/>
    <n v="3.5"/>
    <n v="42"/>
    <x v="253"/>
    <n v="15.141000000000002"/>
  </r>
  <r>
    <n v="1332"/>
    <x v="123"/>
    <n v="11"/>
    <x v="10"/>
    <s v="123 11th Street"/>
    <x v="9"/>
    <x v="9"/>
    <n v="99999"/>
    <s v="USA"/>
    <x v="5"/>
    <x v="3"/>
    <m/>
    <s v="Shipping Company C"/>
    <s v="Peter Krschne"/>
    <s v="123 11th Street"/>
    <x v="9"/>
    <s v="FL"/>
    <n v="99999"/>
    <s v="USA"/>
    <m/>
    <x v="10"/>
    <x v="0"/>
    <n v="2.99"/>
    <n v="100"/>
    <x v="254"/>
    <n v="30.498000000000001"/>
  </r>
  <r>
    <n v="1333"/>
    <x v="124"/>
    <n v="1"/>
    <x v="11"/>
    <s v="123 1st Street"/>
    <x v="10"/>
    <x v="10"/>
    <n v="99999"/>
    <s v="USA"/>
    <x v="2"/>
    <x v="2"/>
    <m/>
    <m/>
    <s v="Anna Bedecs"/>
    <s v="123 1st Street"/>
    <x v="10"/>
    <s v="WA"/>
    <n v="99999"/>
    <s v="USA"/>
    <m/>
    <x v="4"/>
    <x v="0"/>
    <n v="18"/>
    <n v="42"/>
    <x v="21"/>
    <n v="76.356000000000009"/>
  </r>
  <r>
    <n v="1334"/>
    <x v="124"/>
    <n v="1"/>
    <x v="11"/>
    <s v="123 1st Street"/>
    <x v="10"/>
    <x v="10"/>
    <n v="99999"/>
    <s v="USA"/>
    <x v="2"/>
    <x v="2"/>
    <m/>
    <m/>
    <s v="Anna Bedecs"/>
    <s v="123 1st Street"/>
    <x v="10"/>
    <s v="WA"/>
    <n v="99999"/>
    <s v="USA"/>
    <m/>
    <x v="5"/>
    <x v="0"/>
    <n v="46"/>
    <n v="16"/>
    <x v="129"/>
    <n v="70.656000000000006"/>
  </r>
  <r>
    <n v="1335"/>
    <x v="124"/>
    <n v="1"/>
    <x v="11"/>
    <s v="123 1st Street"/>
    <x v="10"/>
    <x v="10"/>
    <n v="99999"/>
    <s v="USA"/>
    <x v="2"/>
    <x v="2"/>
    <m/>
    <m/>
    <s v="Anna Bedecs"/>
    <s v="123 1st Street"/>
    <x v="10"/>
    <s v="WA"/>
    <n v="99999"/>
    <s v="USA"/>
    <m/>
    <x v="10"/>
    <x v="0"/>
    <n v="2.99"/>
    <n v="22"/>
    <x v="255"/>
    <n v="6.3806599999999998"/>
  </r>
  <r>
    <n v="1336"/>
    <x v="125"/>
    <n v="28"/>
    <x v="7"/>
    <s v="789 28th Street"/>
    <x v="6"/>
    <x v="6"/>
    <n v="99999"/>
    <s v="USA"/>
    <x v="5"/>
    <x v="3"/>
    <d v="2014-11-30T00:00:00"/>
    <s v="Shipping Company C"/>
    <s v="Amritansh Raghav"/>
    <s v="789 28th Street"/>
    <x v="6"/>
    <s v="TN"/>
    <n v="99999"/>
    <s v="USA"/>
    <s v="Credit Card"/>
    <x v="8"/>
    <x v="4"/>
    <n v="9.65"/>
    <n v="46"/>
    <x v="256"/>
    <n v="45.721700000000006"/>
  </r>
  <r>
    <n v="1337"/>
    <x v="125"/>
    <n v="28"/>
    <x v="7"/>
    <s v="789 28th Street"/>
    <x v="6"/>
    <x v="6"/>
    <n v="99999"/>
    <s v="USA"/>
    <x v="5"/>
    <x v="3"/>
    <n v="41973"/>
    <s v="Shipping Company C"/>
    <s v="Amritansh Raghav"/>
    <s v="789 28th Street"/>
    <x v="6"/>
    <s v="TN"/>
    <n v="99999"/>
    <s v="USA"/>
    <s v="Credit Card"/>
    <x v="13"/>
    <x v="8"/>
    <n v="18.399999999999999"/>
    <n v="100"/>
    <x v="257"/>
    <n v="184"/>
  </r>
  <r>
    <n v="1338"/>
    <x v="126"/>
    <n v="9"/>
    <x v="12"/>
    <s v="123 9th Street"/>
    <x v="11"/>
    <x v="11"/>
    <n v="99999"/>
    <s v="USA"/>
    <x v="7"/>
    <x v="0"/>
    <n v="41954"/>
    <s v="Shipping Company A"/>
    <s v="Sven Mortensen"/>
    <s v="123 9th Street"/>
    <x v="11"/>
    <s v="UT"/>
    <n v="99999"/>
    <s v="USA"/>
    <s v="Check"/>
    <x v="14"/>
    <x v="9"/>
    <n v="19.5"/>
    <n v="87"/>
    <x v="258"/>
    <n v="174.73950000000002"/>
  </r>
  <r>
    <n v="1339"/>
    <x v="126"/>
    <n v="9"/>
    <x v="12"/>
    <s v="123 9th Street"/>
    <x v="11"/>
    <x v="11"/>
    <n v="99999"/>
    <s v="USA"/>
    <x v="7"/>
    <x v="0"/>
    <n v="41954"/>
    <s v="Shipping Company A"/>
    <s v="Sven Mortensen"/>
    <s v="123 9th Street"/>
    <x v="11"/>
    <s v="UT"/>
    <n v="99999"/>
    <s v="USA"/>
    <s v="Check"/>
    <x v="15"/>
    <x v="10"/>
    <n v="34.799999999999997"/>
    <n v="58"/>
    <x v="259"/>
    <n v="205.8768"/>
  </r>
  <r>
    <n v="1340"/>
    <x v="127"/>
    <n v="6"/>
    <x v="6"/>
    <s v="123 6th Street"/>
    <x v="5"/>
    <x v="5"/>
    <n v="99999"/>
    <s v="USA"/>
    <x v="4"/>
    <x v="2"/>
    <n v="41951"/>
    <s v="Shipping Company B"/>
    <s v="Francisco Pérez-Olaeta"/>
    <s v="123 6th Street"/>
    <x v="5"/>
    <s v="WI"/>
    <n v="99999"/>
    <s v="USA"/>
    <s v="Credit Card"/>
    <x v="0"/>
    <x v="0"/>
    <n v="14"/>
    <n v="85"/>
    <x v="260"/>
    <n v="120.19"/>
  </r>
  <r>
    <n v="1341"/>
    <x v="128"/>
    <n v="8"/>
    <x v="3"/>
    <s v="123 8th Street"/>
    <x v="2"/>
    <x v="2"/>
    <n v="99999"/>
    <s v="USA"/>
    <x v="2"/>
    <x v="2"/>
    <n v="41953"/>
    <s v="Shipping Company B"/>
    <s v="Elizabeth Andersen"/>
    <s v="123 8th Street"/>
    <x v="2"/>
    <s v="OR"/>
    <n v="99999"/>
    <s v="USA"/>
    <s v="Check"/>
    <x v="9"/>
    <x v="5"/>
    <n v="40"/>
    <n v="28"/>
    <x v="139"/>
    <n v="110.88"/>
  </r>
  <r>
    <n v="1342"/>
    <x v="128"/>
    <n v="8"/>
    <x v="3"/>
    <s v="123 8th Street"/>
    <x v="2"/>
    <x v="2"/>
    <n v="99999"/>
    <s v="USA"/>
    <x v="2"/>
    <x v="2"/>
    <d v="2014-11-10T00:00:00"/>
    <s v="Shipping Company B"/>
    <s v="Elizabeth Andersen"/>
    <s v="123 8th Street"/>
    <x v="2"/>
    <s v="OR"/>
    <n v="99999"/>
    <s v="USA"/>
    <s v="Check"/>
    <x v="6"/>
    <x v="2"/>
    <n v="9.1999999999999993"/>
    <n v="19"/>
    <x v="261"/>
    <n v="17.130400000000002"/>
  </r>
  <r>
    <n v="1343"/>
    <x v="129"/>
    <n v="25"/>
    <x v="13"/>
    <s v="789 25th Street"/>
    <x v="7"/>
    <x v="7"/>
    <n v="99999"/>
    <s v="USA"/>
    <x v="6"/>
    <x v="1"/>
    <d v="2014-11-27T00:00:00"/>
    <s v="Shipping Company A"/>
    <s v="John Rodman"/>
    <s v="789 25th Street"/>
    <x v="7"/>
    <s v="IL"/>
    <n v="99999"/>
    <s v="USA"/>
    <s v="Cash"/>
    <x v="21"/>
    <x v="2"/>
    <n v="10"/>
    <n v="99"/>
    <x v="82"/>
    <n v="102.96000000000001"/>
  </r>
  <r>
    <n v="1344"/>
    <x v="130"/>
    <n v="26"/>
    <x v="14"/>
    <s v="789 26th Street"/>
    <x v="9"/>
    <x v="9"/>
    <n v="99999"/>
    <s v="USA"/>
    <x v="5"/>
    <x v="3"/>
    <d v="2014-11-28T00:00:00"/>
    <s v="Shipping Company C"/>
    <s v="Run Liu"/>
    <s v="789 26th Street"/>
    <x v="9"/>
    <s v="FL"/>
    <n v="99999"/>
    <s v="USA"/>
    <s v="Credit Card"/>
    <x v="22"/>
    <x v="13"/>
    <n v="21.35"/>
    <n v="69"/>
    <x v="262"/>
    <n v="153.20760000000004"/>
  </r>
  <r>
    <n v="1345"/>
    <x v="130"/>
    <n v="26"/>
    <x v="14"/>
    <s v="789 26th Street"/>
    <x v="9"/>
    <x v="9"/>
    <n v="99999"/>
    <s v="USA"/>
    <x v="5"/>
    <x v="3"/>
    <d v="2014-11-28T00:00:00"/>
    <s v="Shipping Company C"/>
    <s v="Run Liu"/>
    <s v="789 26th Street"/>
    <x v="9"/>
    <s v="FL"/>
    <n v="99999"/>
    <s v="USA"/>
    <s v="Credit Card"/>
    <x v="8"/>
    <x v="4"/>
    <n v="9.65"/>
    <n v="37"/>
    <x v="263"/>
    <n v="33.919750000000001"/>
  </r>
  <r>
    <n v="1346"/>
    <x v="130"/>
    <n v="26"/>
    <x v="14"/>
    <s v="789 26th Street"/>
    <x v="9"/>
    <x v="9"/>
    <n v="99999"/>
    <s v="USA"/>
    <x v="5"/>
    <x v="3"/>
    <d v="2014-11-28T00:00:00"/>
    <s v="Shipping Company C"/>
    <s v="Run Liu"/>
    <s v="789 26th Street"/>
    <x v="9"/>
    <s v="FL"/>
    <n v="99999"/>
    <s v="USA"/>
    <s v="Credit Card"/>
    <x v="13"/>
    <x v="8"/>
    <n v="18.399999999999999"/>
    <n v="64"/>
    <x v="107"/>
    <n v="118.93759999999999"/>
  </r>
  <r>
    <n v="1347"/>
    <x v="131"/>
    <n v="29"/>
    <x v="4"/>
    <s v="789 29th Street"/>
    <x v="3"/>
    <x v="3"/>
    <n v="99999"/>
    <s v="USA"/>
    <x v="3"/>
    <x v="0"/>
    <d v="2014-12-01T00:00:00"/>
    <s v="Shipping Company B"/>
    <s v="Soo Jung Lee"/>
    <s v="789 29th Street"/>
    <x v="3"/>
    <s v="CO"/>
    <n v="99999"/>
    <s v="USA"/>
    <s v="Check"/>
    <x v="0"/>
    <x v="0"/>
    <n v="14"/>
    <n v="38"/>
    <x v="197"/>
    <n v="55.328000000000003"/>
  </r>
  <r>
    <n v="1348"/>
    <x v="127"/>
    <n v="6"/>
    <x v="6"/>
    <s v="123 6th Street"/>
    <x v="5"/>
    <x v="5"/>
    <n v="99999"/>
    <s v="USA"/>
    <x v="4"/>
    <x v="2"/>
    <d v="2014-11-08T00:00:00"/>
    <s v="Shipping Company C"/>
    <s v="Francisco Pérez-Olaeta"/>
    <s v="123 6th Street"/>
    <x v="5"/>
    <s v="WI"/>
    <n v="99999"/>
    <s v="USA"/>
    <s v="Check"/>
    <x v="7"/>
    <x v="3"/>
    <n v="12.75"/>
    <n v="15"/>
    <x v="264"/>
    <n v="18.55125"/>
  </r>
  <r>
    <n v="1350"/>
    <x v="132"/>
    <n v="4"/>
    <x v="1"/>
    <s v="123 4th Street"/>
    <x v="1"/>
    <x v="1"/>
    <n v="99999"/>
    <s v="USA"/>
    <x v="1"/>
    <x v="1"/>
    <d v="2014-11-06T00:00:00"/>
    <s v="Shipping Company A"/>
    <s v="Christina Lee"/>
    <s v="123 4th Street"/>
    <x v="1"/>
    <s v="NY"/>
    <n v="99999"/>
    <s v="USA"/>
    <s v="Credit Card"/>
    <x v="23"/>
    <x v="6"/>
    <n v="81"/>
    <n v="52"/>
    <x v="265"/>
    <n v="412.77600000000001"/>
  </r>
  <r>
    <n v="1351"/>
    <x v="132"/>
    <n v="4"/>
    <x v="1"/>
    <s v="123 4th Street"/>
    <x v="1"/>
    <x v="1"/>
    <n v="99999"/>
    <s v="USA"/>
    <x v="1"/>
    <x v="1"/>
    <d v="2014-11-06T00:00:00"/>
    <s v="Shipping Company A"/>
    <s v="Christina Lee"/>
    <s v="123 4th Street"/>
    <x v="1"/>
    <s v="NY"/>
    <n v="99999"/>
    <s v="USA"/>
    <s v="Credit Card"/>
    <x v="24"/>
    <x v="14"/>
    <n v="7"/>
    <n v="37"/>
    <x v="58"/>
    <n v="25.382000000000001"/>
  </r>
  <r>
    <n v="1353"/>
    <x v="128"/>
    <n v="8"/>
    <x v="3"/>
    <s v="123 8th Street"/>
    <x v="2"/>
    <x v="2"/>
    <n v="99999"/>
    <s v="USA"/>
    <x v="2"/>
    <x v="2"/>
    <d v="2014-11-10T00:00:00"/>
    <s v="Shipping Company C"/>
    <s v="Elizabeth Andersen"/>
    <s v="123 8th Street"/>
    <x v="2"/>
    <s v="OR"/>
    <n v="99999"/>
    <s v="USA"/>
    <s v="Credit Card"/>
    <x v="15"/>
    <x v="10"/>
    <n v="34.799999999999997"/>
    <n v="24"/>
    <x v="266"/>
    <n v="80.179199999999994"/>
  </r>
  <r>
    <n v="1356"/>
    <x v="133"/>
    <n v="3"/>
    <x v="5"/>
    <s v="123 3rd Street"/>
    <x v="4"/>
    <x v="4"/>
    <n v="99999"/>
    <s v="USA"/>
    <x v="0"/>
    <x v="0"/>
    <d v="2014-11-05T00:00:00"/>
    <s v="Shipping Company B"/>
    <s v="Thomas Axerr"/>
    <s v="123 3rd Street"/>
    <x v="4"/>
    <s v="CA"/>
    <n v="99999"/>
    <s v="USA"/>
    <s v="Cash"/>
    <x v="16"/>
    <x v="7"/>
    <n v="10"/>
    <n v="36"/>
    <x v="267"/>
    <n v="37.08"/>
  </r>
  <r>
    <n v="1357"/>
    <x v="133"/>
    <n v="3"/>
    <x v="5"/>
    <s v="123 3rd Street"/>
    <x v="4"/>
    <x v="4"/>
    <n v="99999"/>
    <s v="USA"/>
    <x v="0"/>
    <x v="0"/>
    <d v="2014-11-05T00:00:00"/>
    <s v="Shipping Company B"/>
    <s v="Thomas Axerr"/>
    <s v="123 3rd Street"/>
    <x v="4"/>
    <s v="CA"/>
    <n v="99999"/>
    <s v="USA"/>
    <s v="Cash"/>
    <x v="9"/>
    <x v="5"/>
    <n v="40"/>
    <n v="24"/>
    <x v="268"/>
    <n v="96"/>
  </r>
  <r>
    <n v="1361"/>
    <x v="122"/>
    <n v="10"/>
    <x v="8"/>
    <s v="123 10th Street"/>
    <x v="7"/>
    <x v="7"/>
    <n v="99999"/>
    <s v="USA"/>
    <x v="6"/>
    <x v="1"/>
    <d v="2014-11-12T00:00:00"/>
    <s v="Shipping Company B"/>
    <s v="Roland Wacker"/>
    <s v="123 10th Street"/>
    <x v="7"/>
    <s v="IL"/>
    <n v="99999"/>
    <s v="USA"/>
    <s v="Credit Card"/>
    <x v="18"/>
    <x v="1"/>
    <n v="10"/>
    <n v="20"/>
    <x v="269"/>
    <n v="20"/>
  </r>
  <r>
    <n v="1363"/>
    <x v="122"/>
    <n v="10"/>
    <x v="8"/>
    <s v="123 10th Street"/>
    <x v="7"/>
    <x v="7"/>
    <n v="99999"/>
    <s v="USA"/>
    <x v="6"/>
    <x v="1"/>
    <m/>
    <s v="Shipping Company A"/>
    <s v="Roland Wacker"/>
    <s v="123 10th Street"/>
    <x v="7"/>
    <s v="IL"/>
    <n v="99999"/>
    <s v="USA"/>
    <m/>
    <x v="1"/>
    <x v="1"/>
    <n v="3.5"/>
    <n v="11"/>
    <x v="4"/>
    <n v="3.7345000000000002"/>
  </r>
  <r>
    <n v="1364"/>
    <x v="123"/>
    <n v="11"/>
    <x v="10"/>
    <s v="123 11th Street"/>
    <x v="9"/>
    <x v="9"/>
    <n v="99999"/>
    <s v="USA"/>
    <x v="5"/>
    <x v="3"/>
    <m/>
    <s v="Shipping Company C"/>
    <s v="Peter Krschne"/>
    <s v="123 11th Street"/>
    <x v="9"/>
    <s v="FL"/>
    <n v="99999"/>
    <s v="USA"/>
    <m/>
    <x v="9"/>
    <x v="5"/>
    <n v="40"/>
    <n v="78"/>
    <x v="189"/>
    <n v="299.52"/>
  </r>
  <r>
    <n v="1365"/>
    <x v="124"/>
    <n v="1"/>
    <x v="11"/>
    <s v="123 1st Street"/>
    <x v="10"/>
    <x v="10"/>
    <n v="99999"/>
    <s v="USA"/>
    <x v="2"/>
    <x v="2"/>
    <m/>
    <s v="Shipping Company C"/>
    <s v="Anna Bedecs"/>
    <s v="123 1st Street"/>
    <x v="10"/>
    <s v="WA"/>
    <n v="99999"/>
    <s v="USA"/>
    <m/>
    <x v="13"/>
    <x v="8"/>
    <n v="18.399999999999999"/>
    <n v="76"/>
    <x v="270"/>
    <n v="144.0352"/>
  </r>
  <r>
    <n v="1366"/>
    <x v="125"/>
    <n v="28"/>
    <x v="7"/>
    <s v="789 28th Street"/>
    <x v="6"/>
    <x v="6"/>
    <n v="99999"/>
    <s v="USA"/>
    <x v="5"/>
    <x v="3"/>
    <d v="2014-11-30T00:00:00"/>
    <s v="Shipping Company C"/>
    <s v="Amritansh Raghav"/>
    <s v="789 28th Street"/>
    <x v="6"/>
    <s v="TN"/>
    <n v="99999"/>
    <s v="USA"/>
    <s v="Credit Card"/>
    <x v="5"/>
    <x v="0"/>
    <n v="46"/>
    <n v="57"/>
    <x v="271"/>
    <n v="272.68799999999999"/>
  </r>
  <r>
    <n v="1367"/>
    <x v="126"/>
    <n v="9"/>
    <x v="12"/>
    <s v="123 9th Street"/>
    <x v="11"/>
    <x v="11"/>
    <n v="99999"/>
    <s v="USA"/>
    <x v="7"/>
    <x v="0"/>
    <d v="2014-11-11T00:00:00"/>
    <s v="Shipping Company A"/>
    <s v="Sven Mortensen"/>
    <s v="123 9th Street"/>
    <x v="11"/>
    <s v="UT"/>
    <n v="99999"/>
    <s v="USA"/>
    <s v="Check"/>
    <x v="8"/>
    <x v="4"/>
    <n v="9.65"/>
    <n v="14"/>
    <x v="272"/>
    <n v="12.9696"/>
  </r>
  <r>
    <n v="1368"/>
    <x v="134"/>
    <n v="27"/>
    <x v="0"/>
    <s v="789 27th Street"/>
    <x v="0"/>
    <x v="0"/>
    <n v="99999"/>
    <s v="USA"/>
    <x v="0"/>
    <x v="0"/>
    <d v="2014-12-29T00:00:00"/>
    <s v="Shipping Company B"/>
    <s v="Karen Toh"/>
    <s v="789 27th Street"/>
    <x v="0"/>
    <s v="NV"/>
    <n v="99999"/>
    <s v="USA"/>
    <s v="Check"/>
    <x v="0"/>
    <x v="0"/>
    <n v="14"/>
    <n v="14"/>
    <x v="273"/>
    <n v="19.796000000000003"/>
  </r>
  <r>
    <n v="1369"/>
    <x v="134"/>
    <n v="27"/>
    <x v="0"/>
    <s v="789 27th Street"/>
    <x v="0"/>
    <x v="0"/>
    <n v="99999"/>
    <s v="USA"/>
    <x v="0"/>
    <x v="0"/>
    <d v="2014-12-29T00:00:00"/>
    <s v="Shipping Company B"/>
    <s v="Karen Toh"/>
    <s v="789 27th Street"/>
    <x v="0"/>
    <s v="NV"/>
    <n v="99999"/>
    <s v="USA"/>
    <s v="Check"/>
    <x v="1"/>
    <x v="1"/>
    <n v="3.5"/>
    <n v="70"/>
    <x v="274"/>
    <n v="25.234999999999999"/>
  </r>
  <r>
    <n v="1370"/>
    <x v="135"/>
    <n v="4"/>
    <x v="1"/>
    <s v="123 4th Street"/>
    <x v="1"/>
    <x v="1"/>
    <n v="99999"/>
    <s v="USA"/>
    <x v="1"/>
    <x v="1"/>
    <d v="2014-12-06T00:00:00"/>
    <s v="Shipping Company A"/>
    <s v="Christina Lee"/>
    <s v="123 4th Street"/>
    <x v="1"/>
    <s v="NY"/>
    <n v="99999"/>
    <s v="USA"/>
    <s v="Credit Card"/>
    <x v="2"/>
    <x v="1"/>
    <n v="30"/>
    <n v="100"/>
    <x v="275"/>
    <n v="291"/>
  </r>
  <r>
    <n v="1371"/>
    <x v="135"/>
    <n v="4"/>
    <x v="1"/>
    <s v="123 4th Street"/>
    <x v="1"/>
    <x v="1"/>
    <n v="99999"/>
    <s v="USA"/>
    <x v="1"/>
    <x v="1"/>
    <d v="2014-12-06T00:00:00"/>
    <s v="Shipping Company A"/>
    <s v="Christina Lee"/>
    <s v="123 4th Street"/>
    <x v="1"/>
    <s v="NY"/>
    <n v="99999"/>
    <s v="USA"/>
    <s v="Credit Card"/>
    <x v="3"/>
    <x v="1"/>
    <n v="53"/>
    <n v="27"/>
    <x v="276"/>
    <n v="143.1"/>
  </r>
  <r>
    <n v="1372"/>
    <x v="135"/>
    <n v="4"/>
    <x v="1"/>
    <s v="123 4th Street"/>
    <x v="1"/>
    <x v="1"/>
    <n v="99999"/>
    <s v="USA"/>
    <x v="1"/>
    <x v="1"/>
    <d v="2014-12-06T00:00:00"/>
    <s v="Shipping Company A"/>
    <s v="Christina Lee"/>
    <s v="123 4th Street"/>
    <x v="1"/>
    <s v="NY"/>
    <n v="99999"/>
    <s v="USA"/>
    <s v="Credit Card"/>
    <x v="1"/>
    <x v="1"/>
    <n v="3.5"/>
    <n v="70"/>
    <x v="274"/>
    <n v="24.009999999999998"/>
  </r>
  <r>
    <n v="1373"/>
    <x v="136"/>
    <n v="12"/>
    <x v="2"/>
    <s v="123 12th Street"/>
    <x v="0"/>
    <x v="0"/>
    <n v="99999"/>
    <s v="USA"/>
    <x v="0"/>
    <x v="0"/>
    <d v="2014-12-14T00:00:00"/>
    <s v="Shipping Company B"/>
    <s v="John Edwards"/>
    <s v="123 12th Street"/>
    <x v="0"/>
    <s v="NV"/>
    <n v="99999"/>
    <s v="USA"/>
    <s v="Credit Card"/>
    <x v="4"/>
    <x v="0"/>
    <n v="18"/>
    <n v="57"/>
    <x v="277"/>
    <n v="102.60000000000001"/>
  </r>
  <r>
    <n v="1374"/>
    <x v="136"/>
    <n v="12"/>
    <x v="2"/>
    <s v="123 12th Street"/>
    <x v="0"/>
    <x v="0"/>
    <n v="99999"/>
    <s v="USA"/>
    <x v="0"/>
    <x v="0"/>
    <d v="2014-12-14T00:00:00"/>
    <s v="Shipping Company B"/>
    <s v="John Edwards"/>
    <s v="123 12th Street"/>
    <x v="0"/>
    <s v="NV"/>
    <n v="99999"/>
    <s v="USA"/>
    <s v="Credit Card"/>
    <x v="5"/>
    <x v="0"/>
    <n v="46"/>
    <n v="83"/>
    <x v="278"/>
    <n v="374.16399999999999"/>
  </r>
  <r>
    <n v="1375"/>
    <x v="137"/>
    <n v="8"/>
    <x v="3"/>
    <s v="123 8th Street"/>
    <x v="2"/>
    <x v="2"/>
    <n v="99999"/>
    <s v="USA"/>
    <x v="2"/>
    <x v="2"/>
    <d v="2014-12-10T00:00:00"/>
    <s v="Shipping Company C"/>
    <s v="Elizabeth Andersen"/>
    <s v="123 8th Street"/>
    <x v="2"/>
    <s v="OR"/>
    <n v="99999"/>
    <s v="USA"/>
    <s v="Credit Card"/>
    <x v="6"/>
    <x v="2"/>
    <n v="9.1999999999999993"/>
    <n v="76"/>
    <x v="279"/>
    <n v="67.123199999999997"/>
  </r>
  <r>
    <n v="1376"/>
    <x v="135"/>
    <n v="4"/>
    <x v="1"/>
    <s v="123 4th Street"/>
    <x v="1"/>
    <x v="1"/>
    <n v="99999"/>
    <s v="USA"/>
    <x v="1"/>
    <x v="1"/>
    <n v="41979"/>
    <s v="Shipping Company C"/>
    <s v="Christina Lee"/>
    <s v="123 4th Street"/>
    <x v="1"/>
    <s v="NY"/>
    <n v="99999"/>
    <s v="USA"/>
    <s v="Check"/>
    <x v="6"/>
    <x v="2"/>
    <n v="9.1999999999999993"/>
    <n v="80"/>
    <x v="129"/>
    <n v="72.864000000000004"/>
  </r>
  <r>
    <n v="1377"/>
    <x v="138"/>
    <n v="29"/>
    <x v="4"/>
    <s v="789 29th Street"/>
    <x v="3"/>
    <x v="3"/>
    <n v="99999"/>
    <s v="USA"/>
    <x v="3"/>
    <x v="0"/>
    <n v="42004"/>
    <s v="Shipping Company B"/>
    <s v="Soo Jung Lee"/>
    <s v="789 29th Street"/>
    <x v="3"/>
    <s v="CO"/>
    <n v="99999"/>
    <s v="USA"/>
    <s v="Check"/>
    <x v="7"/>
    <x v="3"/>
    <n v="12.75"/>
    <n v="47"/>
    <x v="13"/>
    <n v="59.325750000000006"/>
  </r>
  <r>
    <n v="1378"/>
    <x v="139"/>
    <n v="3"/>
    <x v="5"/>
    <s v="123 3rd Street"/>
    <x v="4"/>
    <x v="4"/>
    <n v="99999"/>
    <s v="USA"/>
    <x v="0"/>
    <x v="0"/>
    <n v="41978"/>
    <s v="Shipping Company B"/>
    <s v="Thomas Axerr"/>
    <s v="123 3rd Street"/>
    <x v="4"/>
    <s v="CA"/>
    <n v="99999"/>
    <s v="USA"/>
    <s v="Cash"/>
    <x v="8"/>
    <x v="4"/>
    <n v="9.65"/>
    <n v="96"/>
    <x v="280"/>
    <n v="94.492800000000017"/>
  </r>
  <r>
    <n v="1379"/>
    <x v="140"/>
    <n v="6"/>
    <x v="6"/>
    <s v="123 6th Street"/>
    <x v="5"/>
    <x v="5"/>
    <n v="99999"/>
    <s v="USA"/>
    <x v="4"/>
    <x v="2"/>
    <n v="41981"/>
    <s v="Shipping Company B"/>
    <s v="Francisco Pérez-Olaeta"/>
    <s v="123 6th Street"/>
    <x v="5"/>
    <s v="WI"/>
    <n v="99999"/>
    <s v="USA"/>
    <s v="Credit Card"/>
    <x v="9"/>
    <x v="5"/>
    <n v="40"/>
    <n v="32"/>
    <x v="11"/>
    <n v="134.4"/>
  </r>
  <r>
    <n v="1380"/>
    <x v="141"/>
    <n v="28"/>
    <x v="7"/>
    <s v="789 28th Street"/>
    <x v="6"/>
    <x v="6"/>
    <n v="99999"/>
    <s v="USA"/>
    <x v="5"/>
    <x v="3"/>
    <d v="2014-12-30T00:00:00"/>
    <s v="Shipping Company C"/>
    <s v="Amritansh Raghav"/>
    <s v="789 28th Street"/>
    <x v="6"/>
    <s v="TN"/>
    <n v="99999"/>
    <s v="USA"/>
    <s v="Check"/>
    <x v="5"/>
    <x v="0"/>
    <n v="46"/>
    <n v="16"/>
    <x v="129"/>
    <n v="73.600000000000009"/>
  </r>
  <r>
    <n v="1381"/>
    <x v="137"/>
    <n v="8"/>
    <x v="3"/>
    <s v="123 8th Street"/>
    <x v="2"/>
    <x v="2"/>
    <n v="99999"/>
    <s v="USA"/>
    <x v="2"/>
    <x v="2"/>
    <d v="2014-12-10T00:00:00"/>
    <s v="Shipping Company C"/>
    <s v="Elizabeth Andersen"/>
    <s v="123 8th Street"/>
    <x v="2"/>
    <s v="OR"/>
    <n v="99999"/>
    <s v="USA"/>
    <s v="Check"/>
    <x v="7"/>
    <x v="3"/>
    <n v="12.75"/>
    <n v="41"/>
    <x v="87"/>
    <n v="51.229500000000002"/>
  </r>
  <r>
    <n v="1382"/>
    <x v="142"/>
    <n v="10"/>
    <x v="8"/>
    <s v="123 10th Street"/>
    <x v="7"/>
    <x v="7"/>
    <n v="99999"/>
    <s v="USA"/>
    <x v="6"/>
    <x v="1"/>
    <d v="2014-12-12T00:00:00"/>
    <s v="Shipping Company B"/>
    <s v="Roland Wacker"/>
    <s v="123 10th Street"/>
    <x v="7"/>
    <s v="IL"/>
    <n v="99999"/>
    <s v="USA"/>
    <s v="Credit Card"/>
    <x v="10"/>
    <x v="0"/>
    <n v="2.99"/>
    <n v="41"/>
    <x v="281"/>
    <n v="12.871950000000002"/>
  </r>
  <r>
    <n v="1383"/>
    <x v="143"/>
    <n v="7"/>
    <x v="9"/>
    <s v="123 7th Street"/>
    <x v="8"/>
    <x v="8"/>
    <n v="99999"/>
    <s v="USA"/>
    <x v="2"/>
    <x v="2"/>
    <m/>
    <m/>
    <s v="Ming-Yang Xie"/>
    <s v="123 7th Street"/>
    <x v="8"/>
    <s v="ID"/>
    <n v="99999"/>
    <s v="USA"/>
    <m/>
    <x v="5"/>
    <x v="0"/>
    <n v="46"/>
    <n v="41"/>
    <x v="282"/>
    <n v="194.25800000000004"/>
  </r>
  <r>
    <n v="1384"/>
    <x v="142"/>
    <n v="10"/>
    <x v="8"/>
    <s v="123 10th Street"/>
    <x v="7"/>
    <x v="7"/>
    <n v="99999"/>
    <s v="USA"/>
    <x v="6"/>
    <x v="1"/>
    <d v="2014-12-12T00:00:00"/>
    <s v="Shipping Company A"/>
    <s v="Roland Wacker"/>
    <s v="123 10th Street"/>
    <x v="7"/>
    <s v="IL"/>
    <n v="99999"/>
    <s v="USA"/>
    <m/>
    <x v="11"/>
    <x v="6"/>
    <n v="25"/>
    <n v="94"/>
    <x v="283"/>
    <n v="235"/>
  </r>
  <r>
    <n v="1385"/>
    <x v="142"/>
    <n v="10"/>
    <x v="8"/>
    <s v="123 10th Street"/>
    <x v="7"/>
    <x v="7"/>
    <n v="99999"/>
    <s v="USA"/>
    <x v="6"/>
    <x v="1"/>
    <d v="2014-12-12T00:00:00"/>
    <s v="Shipping Company A"/>
    <s v="Roland Wacker"/>
    <s v="123 10th Street"/>
    <x v="7"/>
    <s v="IL"/>
    <n v="99999"/>
    <s v="USA"/>
    <m/>
    <x v="12"/>
    <x v="7"/>
    <n v="22"/>
    <n v="20"/>
    <x v="284"/>
    <n v="46.2"/>
  </r>
  <r>
    <n v="1386"/>
    <x v="142"/>
    <n v="10"/>
    <x v="8"/>
    <s v="123 10th Street"/>
    <x v="7"/>
    <x v="7"/>
    <n v="99999"/>
    <s v="USA"/>
    <x v="6"/>
    <x v="1"/>
    <n v="41985"/>
    <s v="Shipping Company A"/>
    <s v="Roland Wacker"/>
    <s v="123 10th Street"/>
    <x v="7"/>
    <s v="IL"/>
    <n v="99999"/>
    <s v="USA"/>
    <m/>
    <x v="6"/>
    <x v="2"/>
    <n v="9.1999999999999993"/>
    <n v="13"/>
    <x v="285"/>
    <n v="12.438400000000001"/>
  </r>
  <r>
    <n v="1387"/>
    <x v="144"/>
    <n v="11"/>
    <x v="10"/>
    <s v="123 11th Street"/>
    <x v="9"/>
    <x v="9"/>
    <n v="99999"/>
    <s v="USA"/>
    <x v="5"/>
    <x v="3"/>
    <m/>
    <s v="Shipping Company C"/>
    <s v="Peter Krschne"/>
    <s v="123 11th Street"/>
    <x v="9"/>
    <s v="FL"/>
    <n v="99999"/>
    <s v="USA"/>
    <m/>
    <x v="1"/>
    <x v="1"/>
    <n v="3.5"/>
    <n v="74"/>
    <x v="58"/>
    <n v="26.936000000000003"/>
  </r>
  <r>
    <n v="1388"/>
    <x v="144"/>
    <n v="11"/>
    <x v="10"/>
    <s v="123 11th Street"/>
    <x v="9"/>
    <x v="9"/>
    <n v="99999"/>
    <s v="USA"/>
    <x v="5"/>
    <x v="3"/>
    <m/>
    <s v="Shipping Company C"/>
    <s v="Peter Krschne"/>
    <s v="123 11th Street"/>
    <x v="9"/>
    <s v="FL"/>
    <n v="99999"/>
    <s v="USA"/>
    <m/>
    <x v="10"/>
    <x v="0"/>
    <n v="2.99"/>
    <n v="53"/>
    <x v="286"/>
    <n v="16.005470000000003"/>
  </r>
  <r>
    <n v="1389"/>
    <x v="145"/>
    <n v="1"/>
    <x v="11"/>
    <s v="123 1st Street"/>
    <x v="10"/>
    <x v="10"/>
    <n v="99999"/>
    <s v="USA"/>
    <x v="2"/>
    <x v="2"/>
    <m/>
    <m/>
    <s v="Anna Bedecs"/>
    <s v="123 1st Street"/>
    <x v="10"/>
    <s v="WA"/>
    <n v="99999"/>
    <s v="USA"/>
    <m/>
    <x v="4"/>
    <x v="0"/>
    <n v="18"/>
    <n v="99"/>
    <x v="287"/>
    <n v="174.63600000000002"/>
  </r>
  <r>
    <n v="1390"/>
    <x v="145"/>
    <n v="1"/>
    <x v="11"/>
    <s v="123 1st Street"/>
    <x v="10"/>
    <x v="10"/>
    <n v="99999"/>
    <s v="USA"/>
    <x v="2"/>
    <x v="2"/>
    <m/>
    <m/>
    <s v="Anna Bedecs"/>
    <s v="123 1st Street"/>
    <x v="10"/>
    <s v="WA"/>
    <n v="99999"/>
    <s v="USA"/>
    <m/>
    <x v="5"/>
    <x v="0"/>
    <n v="46"/>
    <n v="89"/>
    <x v="288"/>
    <n v="388.93"/>
  </r>
  <r>
    <n v="1391"/>
    <x v="145"/>
    <n v="1"/>
    <x v="11"/>
    <s v="123 1st Street"/>
    <x v="10"/>
    <x v="10"/>
    <n v="99999"/>
    <s v="USA"/>
    <x v="2"/>
    <x v="2"/>
    <m/>
    <m/>
    <s v="Anna Bedecs"/>
    <s v="123 1st Street"/>
    <x v="10"/>
    <s v="WA"/>
    <n v="99999"/>
    <s v="USA"/>
    <m/>
    <x v="10"/>
    <x v="0"/>
    <n v="2.99"/>
    <n v="64"/>
    <x v="200"/>
    <n v="19.518720000000002"/>
  </r>
  <r>
    <n v="1392"/>
    <x v="141"/>
    <n v="28"/>
    <x v="7"/>
    <s v="789 28th Street"/>
    <x v="6"/>
    <x v="6"/>
    <n v="99999"/>
    <s v="USA"/>
    <x v="5"/>
    <x v="3"/>
    <d v="2014-12-30T00:00:00"/>
    <s v="Shipping Company C"/>
    <s v="Amritansh Raghav"/>
    <s v="789 28th Street"/>
    <x v="6"/>
    <s v="TN"/>
    <n v="99999"/>
    <s v="USA"/>
    <s v="Credit Card"/>
    <x v="8"/>
    <x v="4"/>
    <n v="9.65"/>
    <n v="98"/>
    <x v="289"/>
    <n v="96.461400000000012"/>
  </r>
  <r>
    <n v="1393"/>
    <x v="141"/>
    <n v="28"/>
    <x v="7"/>
    <s v="789 28th Street"/>
    <x v="6"/>
    <x v="6"/>
    <n v="99999"/>
    <s v="USA"/>
    <x v="5"/>
    <x v="3"/>
    <d v="2014-12-30T00:00:00"/>
    <s v="Shipping Company C"/>
    <s v="Amritansh Raghav"/>
    <s v="789 28th Street"/>
    <x v="6"/>
    <s v="TN"/>
    <n v="99999"/>
    <s v="USA"/>
    <s v="Credit Card"/>
    <x v="13"/>
    <x v="8"/>
    <n v="18.399999999999999"/>
    <n v="86"/>
    <x v="290"/>
    <n v="155.0752"/>
  </r>
  <r>
    <n v="1394"/>
    <x v="146"/>
    <n v="9"/>
    <x v="12"/>
    <s v="123 9th Street"/>
    <x v="11"/>
    <x v="11"/>
    <n v="99999"/>
    <s v="USA"/>
    <x v="7"/>
    <x v="0"/>
    <d v="2014-12-11T00:00:00"/>
    <s v="Shipping Company A"/>
    <s v="Sven Mortensen"/>
    <s v="123 9th Street"/>
    <x v="11"/>
    <s v="UT"/>
    <n v="99999"/>
    <s v="USA"/>
    <s v="Check"/>
    <x v="14"/>
    <x v="9"/>
    <n v="19.5"/>
    <n v="20"/>
    <x v="291"/>
    <n v="40.950000000000003"/>
  </r>
  <r>
    <n v="1395"/>
    <x v="146"/>
    <n v="9"/>
    <x v="12"/>
    <s v="123 9th Street"/>
    <x v="11"/>
    <x v="11"/>
    <n v="99999"/>
    <s v="USA"/>
    <x v="7"/>
    <x v="0"/>
    <d v="2014-12-11T00:00:00"/>
    <s v="Shipping Company A"/>
    <s v="Sven Mortensen"/>
    <s v="123 9th Street"/>
    <x v="11"/>
    <s v="UT"/>
    <n v="99999"/>
    <s v="USA"/>
    <s v="Check"/>
    <x v="15"/>
    <x v="10"/>
    <n v="34.799999999999997"/>
    <n v="69"/>
    <x v="292"/>
    <n v="240.12"/>
  </r>
  <r>
    <n v="1396"/>
    <x v="140"/>
    <n v="6"/>
    <x v="6"/>
    <s v="123 6th Street"/>
    <x v="5"/>
    <x v="5"/>
    <n v="99999"/>
    <s v="USA"/>
    <x v="4"/>
    <x v="2"/>
    <d v="2014-12-08T00:00:00"/>
    <s v="Shipping Company B"/>
    <s v="Francisco Pérez-Olaeta"/>
    <s v="123 6th Street"/>
    <x v="5"/>
    <s v="WI"/>
    <n v="99999"/>
    <s v="USA"/>
    <s v="Credit Card"/>
    <x v="0"/>
    <x v="0"/>
    <n v="14"/>
    <n v="68"/>
    <x v="293"/>
    <n v="91.391999999999996"/>
  </r>
  <r>
    <n v="1397"/>
    <x v="137"/>
    <n v="8"/>
    <x v="3"/>
    <s v="123 8th Street"/>
    <x v="2"/>
    <x v="2"/>
    <n v="99999"/>
    <s v="USA"/>
    <x v="2"/>
    <x v="2"/>
    <d v="2014-12-10T00:00:00"/>
    <s v="Shipping Company B"/>
    <s v="Elizabeth Andersen"/>
    <s v="123 8th Street"/>
    <x v="2"/>
    <s v="OR"/>
    <n v="99999"/>
    <s v="USA"/>
    <s v="Check"/>
    <x v="9"/>
    <x v="5"/>
    <n v="40"/>
    <n v="52"/>
    <x v="294"/>
    <n v="203.84"/>
  </r>
  <r>
    <n v="1398"/>
    <x v="137"/>
    <n v="8"/>
    <x v="3"/>
    <s v="123 8th Street"/>
    <x v="2"/>
    <x v="2"/>
    <n v="99999"/>
    <s v="USA"/>
    <x v="2"/>
    <x v="2"/>
    <d v="2014-12-10T00:00:00"/>
    <s v="Shipping Company B"/>
    <s v="Elizabeth Andersen"/>
    <s v="123 8th Street"/>
    <x v="2"/>
    <s v="OR"/>
    <n v="99999"/>
    <s v="USA"/>
    <s v="Check"/>
    <x v="6"/>
    <x v="2"/>
    <n v="9.1999999999999993"/>
    <n v="40"/>
    <x v="295"/>
    <n v="38.640000000000008"/>
  </r>
  <r>
    <n v="1399"/>
    <x v="147"/>
    <n v="25"/>
    <x v="13"/>
    <s v="789 25th Street"/>
    <x v="7"/>
    <x v="7"/>
    <n v="99999"/>
    <s v="USA"/>
    <x v="6"/>
    <x v="1"/>
    <d v="2014-12-27T00:00:00"/>
    <s v="Shipping Company A"/>
    <s v="John Rodman"/>
    <s v="789 25th Street"/>
    <x v="7"/>
    <s v="IL"/>
    <n v="99999"/>
    <s v="USA"/>
    <s v="Cash"/>
    <x v="21"/>
    <x v="2"/>
    <n v="10"/>
    <n v="100"/>
    <x v="116"/>
    <n v="98"/>
  </r>
  <r>
    <n v="1400"/>
    <x v="148"/>
    <n v="26"/>
    <x v="14"/>
    <s v="789 26th Street"/>
    <x v="9"/>
    <x v="9"/>
    <n v="99999"/>
    <s v="USA"/>
    <x v="5"/>
    <x v="3"/>
    <d v="2014-12-28T00:00:00"/>
    <s v="Shipping Company C"/>
    <s v="Run Liu"/>
    <s v="789 26th Street"/>
    <x v="9"/>
    <s v="FL"/>
    <n v="99999"/>
    <s v="USA"/>
    <s v="Credit Card"/>
    <x v="22"/>
    <x v="13"/>
    <n v="21.35"/>
    <n v="88"/>
    <x v="296"/>
    <n v="184.12240000000003"/>
  </r>
  <r>
    <n v="1401"/>
    <x v="148"/>
    <n v="26"/>
    <x v="14"/>
    <s v="789 26th Street"/>
    <x v="9"/>
    <x v="9"/>
    <n v="99999"/>
    <s v="USA"/>
    <x v="5"/>
    <x v="3"/>
    <d v="2014-12-28T00:00:00"/>
    <s v="Shipping Company C"/>
    <s v="Run Liu"/>
    <s v="789 26th Street"/>
    <x v="9"/>
    <s v="FL"/>
    <n v="99999"/>
    <s v="USA"/>
    <s v="Credit Card"/>
    <x v="8"/>
    <x v="4"/>
    <n v="9.65"/>
    <n v="46"/>
    <x v="256"/>
    <n v="42.614400000000003"/>
  </r>
  <r>
    <n v="1402"/>
    <x v="148"/>
    <n v="26"/>
    <x v="14"/>
    <s v="789 26th Street"/>
    <x v="9"/>
    <x v="9"/>
    <n v="99999"/>
    <s v="USA"/>
    <x v="5"/>
    <x v="3"/>
    <d v="2014-12-28T00:00:00"/>
    <s v="Shipping Company C"/>
    <s v="Run Liu"/>
    <s v="789 26th Street"/>
    <x v="9"/>
    <s v="FL"/>
    <n v="99999"/>
    <s v="USA"/>
    <s v="Credit Card"/>
    <x v="13"/>
    <x v="8"/>
    <n v="18.399999999999999"/>
    <n v="93"/>
    <x v="297"/>
    <n v="167.69759999999999"/>
  </r>
  <r>
    <n v="1403"/>
    <x v="138"/>
    <n v="29"/>
    <x v="4"/>
    <s v="789 29th Street"/>
    <x v="3"/>
    <x v="3"/>
    <n v="99999"/>
    <s v="USA"/>
    <x v="3"/>
    <x v="0"/>
    <d v="2014-12-31T00:00:00"/>
    <s v="Shipping Company B"/>
    <s v="Soo Jung Lee"/>
    <s v="789 29th Street"/>
    <x v="3"/>
    <s v="CO"/>
    <n v="99999"/>
    <s v="USA"/>
    <s v="Check"/>
    <x v="0"/>
    <x v="0"/>
    <n v="14"/>
    <n v="96"/>
    <x v="298"/>
    <n v="141.12"/>
  </r>
  <r>
    <n v="1404"/>
    <x v="140"/>
    <n v="6"/>
    <x v="6"/>
    <s v="123 6th Street"/>
    <x v="5"/>
    <x v="5"/>
    <n v="99999"/>
    <s v="USA"/>
    <x v="4"/>
    <x v="2"/>
    <d v="2014-12-08T00:00:00"/>
    <s v="Shipping Company C"/>
    <s v="Francisco Pérez-Olaeta"/>
    <s v="123 6th Street"/>
    <x v="5"/>
    <s v="WI"/>
    <n v="99999"/>
    <s v="USA"/>
    <s v="Check"/>
    <x v="7"/>
    <x v="3"/>
    <n v="12.75"/>
    <n v="12"/>
    <x v="299"/>
    <n v="16.065000000000001"/>
  </r>
  <r>
    <n v="1406"/>
    <x v="135"/>
    <n v="4"/>
    <x v="1"/>
    <s v="123 4th Street"/>
    <x v="1"/>
    <x v="1"/>
    <n v="99999"/>
    <s v="USA"/>
    <x v="1"/>
    <x v="1"/>
    <d v="2014-12-06T00:00:00"/>
    <s v="Shipping Company A"/>
    <s v="Christina Lee"/>
    <s v="123 4th Street"/>
    <x v="1"/>
    <s v="NY"/>
    <n v="99999"/>
    <s v="USA"/>
    <s v="Credit Card"/>
    <x v="23"/>
    <x v="6"/>
    <n v="81"/>
    <n v="38"/>
    <x v="300"/>
    <n v="292.41000000000003"/>
  </r>
  <r>
    <n v="1407"/>
    <x v="135"/>
    <n v="4"/>
    <x v="1"/>
    <s v="123 4th Street"/>
    <x v="1"/>
    <x v="1"/>
    <n v="99999"/>
    <s v="USA"/>
    <x v="1"/>
    <x v="1"/>
    <d v="2014-12-06T00:00:00"/>
    <s v="Shipping Company A"/>
    <s v="Christina Lee"/>
    <s v="123 4th Street"/>
    <x v="1"/>
    <s v="NY"/>
    <n v="99999"/>
    <s v="USA"/>
    <s v="Credit Card"/>
    <x v="24"/>
    <x v="14"/>
    <n v="7"/>
    <n v="42"/>
    <x v="108"/>
    <n v="29.106000000000002"/>
  </r>
  <r>
    <n v="1409"/>
    <x v="137"/>
    <n v="8"/>
    <x v="3"/>
    <s v="123 8th Street"/>
    <x v="2"/>
    <x v="2"/>
    <n v="99999"/>
    <s v="USA"/>
    <x v="2"/>
    <x v="2"/>
    <d v="2014-12-10T00:00:00"/>
    <s v="Shipping Company C"/>
    <s v="Elizabeth Andersen"/>
    <s v="123 8th Street"/>
    <x v="2"/>
    <s v="OR"/>
    <n v="99999"/>
    <s v="USA"/>
    <s v="Credit Card"/>
    <x v="15"/>
    <x v="10"/>
    <n v="34.799999999999997"/>
    <n v="100"/>
    <x v="301"/>
    <n v="344.52"/>
  </r>
  <r>
    <n v="1412"/>
    <x v="139"/>
    <n v="3"/>
    <x v="5"/>
    <s v="123 3rd Street"/>
    <x v="4"/>
    <x v="4"/>
    <n v="99999"/>
    <s v="USA"/>
    <x v="0"/>
    <x v="0"/>
    <d v="2014-12-05T00:00:00"/>
    <s v="Shipping Company B"/>
    <s v="Thomas Axerr"/>
    <s v="123 3rd Street"/>
    <x v="4"/>
    <s v="CA"/>
    <n v="99999"/>
    <s v="USA"/>
    <s v="Cash"/>
    <x v="16"/>
    <x v="7"/>
    <n v="10"/>
    <n v="89"/>
    <x v="302"/>
    <n v="87.22"/>
  </r>
  <r>
    <n v="1413"/>
    <x v="139"/>
    <n v="3"/>
    <x v="5"/>
    <s v="123 3rd Street"/>
    <x v="4"/>
    <x v="4"/>
    <n v="99999"/>
    <s v="USA"/>
    <x v="0"/>
    <x v="0"/>
    <d v="2014-12-05T00:00:00"/>
    <s v="Shipping Company B"/>
    <s v="Thomas Axerr"/>
    <s v="123 3rd Street"/>
    <x v="4"/>
    <s v="CA"/>
    <n v="99999"/>
    <s v="USA"/>
    <s v="Cash"/>
    <x v="9"/>
    <x v="5"/>
    <n v="40"/>
    <n v="12"/>
    <x v="60"/>
    <n v="46.56"/>
  </r>
  <r>
    <n v="1417"/>
    <x v="142"/>
    <n v="10"/>
    <x v="8"/>
    <s v="123 10th Street"/>
    <x v="7"/>
    <x v="7"/>
    <n v="99999"/>
    <s v="USA"/>
    <x v="6"/>
    <x v="1"/>
    <d v="2014-12-12T00:00:00"/>
    <s v="Shipping Company B"/>
    <s v="Roland Wacker"/>
    <s v="123 10th Street"/>
    <x v="7"/>
    <s v="IL"/>
    <n v="99999"/>
    <s v="USA"/>
    <s v="Credit Card"/>
    <x v="18"/>
    <x v="1"/>
    <n v="10"/>
    <n v="97"/>
    <x v="303"/>
    <n v="100.88000000000001"/>
  </r>
  <r>
    <n v="1419"/>
    <x v="142"/>
    <n v="10"/>
    <x v="8"/>
    <s v="123 10th Street"/>
    <x v="7"/>
    <x v="7"/>
    <n v="99999"/>
    <s v="USA"/>
    <x v="6"/>
    <x v="1"/>
    <m/>
    <s v="Shipping Company A"/>
    <s v="Roland Wacker"/>
    <s v="123 10th Street"/>
    <x v="7"/>
    <s v="IL"/>
    <n v="99999"/>
    <s v="USA"/>
    <m/>
    <x v="1"/>
    <x v="1"/>
    <n v="3.5"/>
    <n v="53"/>
    <x v="304"/>
    <n v="17.622499999999999"/>
  </r>
  <r>
    <n v="1420"/>
    <x v="144"/>
    <n v="11"/>
    <x v="10"/>
    <s v="123 11th Street"/>
    <x v="9"/>
    <x v="9"/>
    <n v="99999"/>
    <s v="USA"/>
    <x v="5"/>
    <x v="3"/>
    <m/>
    <s v="Shipping Company C"/>
    <s v="Peter Krschne"/>
    <s v="123 11th Street"/>
    <x v="9"/>
    <s v="FL"/>
    <n v="99999"/>
    <s v="USA"/>
    <m/>
    <x v="9"/>
    <x v="5"/>
    <n v="40"/>
    <n v="61"/>
    <x v="305"/>
    <n v="248.88"/>
  </r>
  <r>
    <n v="1421"/>
    <x v="145"/>
    <n v="1"/>
    <x v="11"/>
    <s v="123 1st Street"/>
    <x v="10"/>
    <x v="10"/>
    <n v="99999"/>
    <s v="USA"/>
    <x v="2"/>
    <x v="2"/>
    <m/>
    <s v="Shipping Company C"/>
    <s v="Anna Bedecs"/>
    <s v="123 1st Street"/>
    <x v="10"/>
    <s v="WA"/>
    <n v="99999"/>
    <s v="USA"/>
    <m/>
    <x v="13"/>
    <x v="8"/>
    <n v="18.399999999999999"/>
    <n v="45"/>
    <x v="306"/>
    <n v="81.143999999999991"/>
  </r>
  <r>
    <n v="1422"/>
    <x v="141"/>
    <n v="28"/>
    <x v="7"/>
    <s v="789 28th Street"/>
    <x v="6"/>
    <x v="6"/>
    <n v="99999"/>
    <s v="USA"/>
    <x v="5"/>
    <x v="3"/>
    <d v="2014-12-30T00:00:00"/>
    <s v="Shipping Company C"/>
    <s v="Amritansh Raghav"/>
    <s v="789 28th Street"/>
    <x v="6"/>
    <s v="TN"/>
    <n v="99999"/>
    <s v="USA"/>
    <s v="Credit Card"/>
    <x v="5"/>
    <x v="0"/>
    <n v="46"/>
    <n v="43"/>
    <x v="307"/>
    <n v="197.8"/>
  </r>
  <r>
    <n v="1423"/>
    <x v="146"/>
    <n v="9"/>
    <x v="12"/>
    <s v="123 9th Street"/>
    <x v="11"/>
    <x v="11"/>
    <n v="99999"/>
    <s v="USA"/>
    <x v="7"/>
    <x v="0"/>
    <d v="2014-12-11T00:00:00"/>
    <s v="Shipping Company A"/>
    <s v="Sven Mortensen"/>
    <s v="123 9th Street"/>
    <x v="11"/>
    <s v="UT"/>
    <n v="99999"/>
    <s v="USA"/>
    <s v="Check"/>
    <x v="8"/>
    <x v="4"/>
    <n v="9.65"/>
    <n v="18"/>
    <x v="308"/>
    <n v="16.5015"/>
  </r>
  <r>
    <n v="1424"/>
    <x v="140"/>
    <n v="6"/>
    <x v="6"/>
    <s v="123 6th Street"/>
    <x v="5"/>
    <x v="5"/>
    <n v="99999"/>
    <s v="USA"/>
    <x v="4"/>
    <x v="2"/>
    <d v="2014-12-08T00:00:00"/>
    <s v="Shipping Company B"/>
    <s v="Francisco Pérez-Olaeta"/>
    <s v="123 6th Street"/>
    <x v="5"/>
    <s v="WI"/>
    <n v="99999"/>
    <s v="USA"/>
    <s v="Credit Card"/>
    <x v="7"/>
    <x v="3"/>
    <n v="12.75"/>
    <n v="41"/>
    <x v="87"/>
    <n v="50.706750000000007"/>
  </r>
  <r>
    <n v="1425"/>
    <x v="137"/>
    <n v="8"/>
    <x v="3"/>
    <s v="123 8th Street"/>
    <x v="2"/>
    <x v="2"/>
    <n v="99999"/>
    <s v="USA"/>
    <x v="2"/>
    <x v="2"/>
    <n v="41983"/>
    <s v="Shipping Company B"/>
    <s v="Elizabeth Andersen"/>
    <s v="123 8th Street"/>
    <x v="2"/>
    <s v="OR"/>
    <n v="99999"/>
    <s v="USA"/>
    <s v="Check"/>
    <x v="7"/>
    <x v="3"/>
    <n v="12.75"/>
    <n v="19"/>
    <x v="109"/>
    <n v="23.982750000000003"/>
  </r>
  <r>
    <n v="1426"/>
    <x v="147"/>
    <n v="25"/>
    <x v="13"/>
    <s v="789 25th Street"/>
    <x v="7"/>
    <x v="7"/>
    <n v="99999"/>
    <s v="USA"/>
    <x v="6"/>
    <x v="1"/>
    <n v="42000"/>
    <s v="Shipping Company A"/>
    <s v="John Rodman"/>
    <s v="789 25th Street"/>
    <x v="7"/>
    <s v="IL"/>
    <n v="99999"/>
    <s v="USA"/>
    <s v="Cash"/>
    <x v="12"/>
    <x v="7"/>
    <n v="22"/>
    <n v="65"/>
    <x v="309"/>
    <n v="138.71"/>
  </r>
  <r>
    <n v="1427"/>
    <x v="148"/>
    <n v="26"/>
    <x v="14"/>
    <s v="789 26th Street"/>
    <x v="9"/>
    <x v="9"/>
    <n v="99999"/>
    <s v="USA"/>
    <x v="5"/>
    <x v="3"/>
    <n v="42001"/>
    <s v="Shipping Company C"/>
    <s v="Run Liu"/>
    <s v="789 26th Street"/>
    <x v="9"/>
    <s v="FL"/>
    <n v="99999"/>
    <s v="USA"/>
    <s v="Credit Card"/>
    <x v="11"/>
    <x v="6"/>
    <n v="25"/>
    <n v="13"/>
    <x v="310"/>
    <n v="32.174999999999997"/>
  </r>
  <r>
    <n v="1428"/>
    <x v="138"/>
    <n v="29"/>
    <x v="4"/>
    <s v="789 29th Street"/>
    <x v="3"/>
    <x v="3"/>
    <n v="99999"/>
    <s v="USA"/>
    <x v="3"/>
    <x v="0"/>
    <n v="42004"/>
    <s v="Shipping Company B"/>
    <s v="Soo Jung Lee"/>
    <s v="789 29th Street"/>
    <x v="3"/>
    <s v="CO"/>
    <n v="99999"/>
    <s v="USA"/>
    <s v="Check"/>
    <x v="19"/>
    <x v="12"/>
    <n v="39"/>
    <n v="54"/>
    <x v="311"/>
    <n v="214.81200000000004"/>
  </r>
  <r>
    <n v="1429"/>
    <x v="140"/>
    <n v="6"/>
    <x v="6"/>
    <s v="123 6th Street"/>
    <x v="5"/>
    <x v="5"/>
    <n v="99999"/>
    <s v="USA"/>
    <x v="4"/>
    <x v="2"/>
    <d v="2014-12-08T00:00:00"/>
    <s v="Shipping Company C"/>
    <s v="Francisco Pérez-Olaeta"/>
    <s v="123 6th Street"/>
    <x v="5"/>
    <s v="WI"/>
    <n v="99999"/>
    <s v="USA"/>
    <s v="Check"/>
    <x v="2"/>
    <x v="1"/>
    <n v="30"/>
    <n v="33"/>
    <x v="82"/>
    <n v="95.039999999999992"/>
  </r>
  <r>
    <n v="1430"/>
    <x v="140"/>
    <n v="6"/>
    <x v="6"/>
    <s v="123 6th Street"/>
    <x v="5"/>
    <x v="5"/>
    <n v="99999"/>
    <s v="USA"/>
    <x v="4"/>
    <x v="2"/>
    <d v="2014-12-08T00:00:00"/>
    <s v="Shipping Company C"/>
    <s v="Francisco Pérez-Olaeta"/>
    <s v="123 6th Street"/>
    <x v="5"/>
    <s v="WI"/>
    <n v="99999"/>
    <s v="USA"/>
    <s v="Check"/>
    <x v="3"/>
    <x v="1"/>
    <n v="53"/>
    <n v="34"/>
    <x v="312"/>
    <n v="185.60600000000002"/>
  </r>
  <r>
    <n v="1431"/>
    <x v="135"/>
    <n v="4"/>
    <x v="1"/>
    <s v="123 4th Street"/>
    <x v="1"/>
    <x v="1"/>
    <n v="99999"/>
    <s v="USA"/>
    <x v="1"/>
    <x v="1"/>
    <m/>
    <m/>
    <s v="Christina Lee"/>
    <s v="123 4th Street"/>
    <x v="1"/>
    <s v="NY"/>
    <n v="99999"/>
    <s v="USA"/>
    <m/>
    <x v="20"/>
    <x v="9"/>
    <n v="38"/>
    <n v="59"/>
    <x v="313"/>
    <n v="226.44200000000001"/>
  </r>
  <r>
    <n v="1432"/>
    <x v="139"/>
    <n v="3"/>
    <x v="5"/>
    <s v="123 3rd Street"/>
    <x v="4"/>
    <x v="4"/>
    <n v="99999"/>
    <s v="USA"/>
    <x v="0"/>
    <x v="0"/>
    <m/>
    <m/>
    <s v="Thomas Axerr"/>
    <s v="123 3rd Street"/>
    <x v="4"/>
    <s v="CA"/>
    <n v="99999"/>
    <s v="USA"/>
    <m/>
    <x v="10"/>
    <x v="0"/>
    <n v="2.99"/>
    <n v="24"/>
    <x v="314"/>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455D1A-BFB9-40FD-AFD3-DA4E390B5C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16" firstHeaderRow="1" firstDataRow="1" firstDataCol="1"/>
  <pivotFields count="29">
    <pivotField showAll="0"/>
    <pivotField axis="axisRow"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showAll="0">
      <items count="9">
        <item x="1"/>
        <item x="5"/>
        <item x="3"/>
        <item x="6"/>
        <item x="0"/>
        <item x="4"/>
        <item x="2"/>
        <item x="7"/>
        <item t="default"/>
      </items>
    </pivotField>
    <pivotField showAll="0"/>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items count="16">
        <item x="2"/>
        <item x="0"/>
        <item x="3"/>
        <item x="8"/>
        <item x="7"/>
        <item x="10"/>
        <item x="1"/>
        <item x="12"/>
        <item x="14"/>
        <item x="6"/>
        <item x="13"/>
        <item x="9"/>
        <item x="5"/>
        <item x="11"/>
        <item x="4"/>
        <item t="default"/>
      </items>
    </pivotField>
    <pivotField showAll="0"/>
    <pivotField showAll="0"/>
    <pivotField dataField="1" numFmtId="165" showAll="0"/>
    <pivotField numFmtId="165"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12">
        <item x="2"/>
        <item x="0"/>
        <item x="3"/>
        <item x="7"/>
        <item x="6"/>
        <item x="9"/>
        <item x="1"/>
        <item x="10"/>
        <item x="5"/>
        <item x="8"/>
        <item x="4"/>
        <item t="default"/>
      </items>
    </pivotField>
  </pivotFields>
  <rowFields count="3">
    <field x="27"/>
    <field x="26"/>
    <field x="1"/>
  </rowFields>
  <rowItems count="13">
    <i>
      <x v="1"/>
    </i>
    <i>
      <x v="2"/>
    </i>
    <i>
      <x v="3"/>
    </i>
    <i>
      <x v="4"/>
    </i>
    <i>
      <x v="5"/>
    </i>
    <i>
      <x v="6"/>
    </i>
    <i>
      <x v="7"/>
    </i>
    <i>
      <x v="8"/>
    </i>
    <i>
      <x v="9"/>
    </i>
    <i>
      <x v="10"/>
    </i>
    <i>
      <x v="11"/>
    </i>
    <i>
      <x v="12"/>
    </i>
    <i t="grand">
      <x/>
    </i>
  </rowItems>
  <colItems count="1">
    <i/>
  </colItems>
  <dataFields count="1">
    <dataField name="Sum of Revenue" fld="24" baseField="0" baseItem="0" numFmtId="165"/>
  </dataFields>
  <chartFormats count="2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7" count="1" selected="0">
            <x v="6"/>
          </reference>
        </references>
      </pivotArea>
    </chartFormat>
    <chartFormat chart="2" format="4">
      <pivotArea type="data" outline="0" fieldPosition="0">
        <references count="2">
          <reference field="4294967294" count="1" selected="0">
            <x v="0"/>
          </reference>
          <reference field="27" count="1" selected="0">
            <x v="8"/>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7" count="1" selected="0">
            <x v="6"/>
          </reference>
        </references>
      </pivotArea>
    </chartFormat>
    <chartFormat chart="3" format="7">
      <pivotArea type="data" outline="0" fieldPosition="0">
        <references count="2">
          <reference field="4294967294" count="1" selected="0">
            <x v="0"/>
          </reference>
          <reference field="27" count="1" selected="0">
            <x v="8"/>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7" count="1" selected="0">
            <x v="6"/>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27" count="1" selected="0">
            <x v="6"/>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7" count="1" selected="0">
            <x v="6"/>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2">
          <reference field="4294967294" count="1" selected="0">
            <x v="0"/>
          </reference>
          <reference field="27" count="1" selected="0">
            <x v="6"/>
          </reference>
        </references>
      </pivotArea>
    </chartFormat>
    <chartFormat chart="2" format="5">
      <pivotArea type="data" outline="0" fieldPosition="0">
        <references count="2">
          <reference field="4294967294" count="1" selected="0">
            <x v="0"/>
          </reference>
          <reference field="27" count="1" selected="0">
            <x v="1"/>
          </reference>
        </references>
      </pivotArea>
    </chartFormat>
    <chartFormat chart="2" format="6">
      <pivotArea type="data" outline="0" fieldPosition="0">
        <references count="2">
          <reference field="4294967294" count="1" selected="0">
            <x v="0"/>
          </reference>
          <reference field="27" count="1" selected="0">
            <x v="2"/>
          </reference>
        </references>
      </pivotArea>
    </chartFormat>
    <chartFormat chart="2" format="7">
      <pivotArea type="data" outline="0" fieldPosition="0">
        <references count="2">
          <reference field="4294967294" count="1" selected="0">
            <x v="0"/>
          </reference>
          <reference field="27" count="1" selected="0">
            <x v="4"/>
          </reference>
        </references>
      </pivotArea>
    </chartFormat>
    <chartFormat chart="2" format="8">
      <pivotArea type="data" outline="0" fieldPosition="0">
        <references count="2">
          <reference field="4294967294" count="1" selected="0">
            <x v="0"/>
          </reference>
          <reference field="27" count="1" selected="0">
            <x v="11"/>
          </reference>
        </references>
      </pivotArea>
    </chartFormat>
    <chartFormat chart="2" format="9">
      <pivotArea type="data" outline="0" fieldPosition="0">
        <references count="2">
          <reference field="4294967294" count="1" selected="0">
            <x v="0"/>
          </reference>
          <reference field="2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3BD5FE-CE73-41FD-9916-47078B11A9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29">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9">
        <item x="1"/>
        <item x="5"/>
        <item x="3"/>
        <item x="6"/>
        <item x="0"/>
        <item x="4"/>
        <item x="2"/>
        <item x="7"/>
        <item t="default"/>
      </items>
    </pivotField>
    <pivotField showAll="0"/>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items count="16">
        <item x="2"/>
        <item x="0"/>
        <item x="3"/>
        <item x="8"/>
        <item x="7"/>
        <item x="10"/>
        <item x="1"/>
        <item x="12"/>
        <item x="14"/>
        <item x="6"/>
        <item x="13"/>
        <item x="9"/>
        <item x="5"/>
        <item x="11"/>
        <item x="4"/>
        <item t="default"/>
      </items>
    </pivotField>
    <pivotField showAll="0"/>
    <pivotField showAll="0"/>
    <pivotField dataField="1" numFmtId="165"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2">
        <item x="2"/>
        <item x="0"/>
        <item x="3"/>
        <item x="7"/>
        <item x="6"/>
        <item x="9"/>
        <item x="1"/>
        <item x="10"/>
        <item x="5"/>
        <item x="8"/>
        <item x="4"/>
        <item t="default"/>
      </items>
    </pivotField>
  </pivotFields>
  <rowFields count="1">
    <field x="3"/>
  </rowFields>
  <rowItems count="11">
    <i>
      <x v="11"/>
    </i>
    <i>
      <x v="3"/>
    </i>
    <i>
      <x v="14"/>
    </i>
    <i>
      <x v="10"/>
    </i>
    <i>
      <x v="9"/>
    </i>
    <i>
      <x/>
    </i>
    <i>
      <x v="6"/>
    </i>
    <i>
      <x v="2"/>
    </i>
    <i>
      <x v="8"/>
    </i>
    <i>
      <x v="5"/>
    </i>
    <i t="grand">
      <x/>
    </i>
  </rowItems>
  <colItems count="1">
    <i/>
  </colItems>
  <dataFields count="1">
    <dataField name="Sum of Revenue" fld="24" baseField="0" baseItem="0" numFmtId="165"/>
  </dataFields>
  <chartFormats count="3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14"/>
          </reference>
        </references>
      </pivotArea>
    </chartFormat>
    <chartFormat chart="1" format="3">
      <pivotArea type="data" outline="0" fieldPosition="0">
        <references count="2">
          <reference field="4294967294" count="1" selected="0">
            <x v="0"/>
          </reference>
          <reference field="3" count="1" selected="0">
            <x v="6"/>
          </reference>
        </references>
      </pivotArea>
    </chartFormat>
    <chartFormat chart="1" format="4">
      <pivotArea type="data" outline="0" fieldPosition="0">
        <references count="2">
          <reference field="4294967294" count="1" selected="0">
            <x v="0"/>
          </reference>
          <reference field="3" count="1" selected="0">
            <x v="0"/>
          </reference>
        </references>
      </pivotArea>
    </chartFormat>
    <chartFormat chart="1" format="5">
      <pivotArea type="data" outline="0" fieldPosition="0">
        <references count="2">
          <reference field="4294967294" count="1" selected="0">
            <x v="0"/>
          </reference>
          <reference field="3" count="1" selected="0">
            <x v="9"/>
          </reference>
        </references>
      </pivotArea>
    </chartFormat>
    <chartFormat chart="1" format="6">
      <pivotArea type="data" outline="0" fieldPosition="0">
        <references count="2">
          <reference field="4294967294" count="1" selected="0">
            <x v="0"/>
          </reference>
          <reference field="3" count="1" selected="0">
            <x v="2"/>
          </reference>
        </references>
      </pivotArea>
    </chartFormat>
    <chartFormat chart="1" format="7">
      <pivotArea type="data" outline="0" fieldPosition="0">
        <references count="2">
          <reference field="4294967294" count="1" selected="0">
            <x v="0"/>
          </reference>
          <reference field="3" count="1" selected="0">
            <x v="10"/>
          </reference>
        </references>
      </pivotArea>
    </chartFormat>
    <chartFormat chart="1" format="8">
      <pivotArea type="data" outline="0" fieldPosition="0">
        <references count="2">
          <reference field="4294967294" count="1" selected="0">
            <x v="0"/>
          </reference>
          <reference field="3" count="1" selected="0">
            <x v="3"/>
          </reference>
        </references>
      </pivotArea>
    </chartFormat>
    <chartFormat chart="1" format="9">
      <pivotArea type="data" outline="0" fieldPosition="0">
        <references count="2">
          <reference field="4294967294" count="1" selected="0">
            <x v="0"/>
          </reference>
          <reference field="3" count="1" selected="0">
            <x v="11"/>
          </reference>
        </references>
      </pivotArea>
    </chartFormat>
    <chartFormat chart="1" format="10">
      <pivotArea type="data" outline="0" fieldPosition="0">
        <references count="2">
          <reference field="4294967294" count="1" selected="0">
            <x v="0"/>
          </reference>
          <reference field="3" count="1" selected="0">
            <x v="8"/>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3" count="1" selected="0">
            <x v="11"/>
          </reference>
        </references>
      </pivotArea>
    </chartFormat>
    <chartFormat chart="6" format="13">
      <pivotArea type="data" outline="0" fieldPosition="0">
        <references count="2">
          <reference field="4294967294" count="1" selected="0">
            <x v="0"/>
          </reference>
          <reference field="3" count="1" selected="0">
            <x v="3"/>
          </reference>
        </references>
      </pivotArea>
    </chartFormat>
    <chartFormat chart="6" format="14">
      <pivotArea type="data" outline="0" fieldPosition="0">
        <references count="2">
          <reference field="4294967294" count="1" selected="0">
            <x v="0"/>
          </reference>
          <reference field="3" count="1" selected="0">
            <x v="14"/>
          </reference>
        </references>
      </pivotArea>
    </chartFormat>
    <chartFormat chart="6" format="15">
      <pivotArea type="data" outline="0" fieldPosition="0">
        <references count="2">
          <reference field="4294967294" count="1" selected="0">
            <x v="0"/>
          </reference>
          <reference field="3" count="1" selected="0">
            <x v="10"/>
          </reference>
        </references>
      </pivotArea>
    </chartFormat>
    <chartFormat chart="6" format="16">
      <pivotArea type="data" outline="0" fieldPosition="0">
        <references count="2">
          <reference field="4294967294" count="1" selected="0">
            <x v="0"/>
          </reference>
          <reference field="3" count="1" selected="0">
            <x v="9"/>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pivotArea type="data" outline="0" fieldPosition="0">
        <references count="2">
          <reference field="4294967294" count="1" selected="0">
            <x v="0"/>
          </reference>
          <reference field="3" count="1" selected="0">
            <x v="6"/>
          </reference>
        </references>
      </pivotArea>
    </chartFormat>
    <chartFormat chart="6" format="19">
      <pivotArea type="data" outline="0" fieldPosition="0">
        <references count="2">
          <reference field="4294967294" count="1" selected="0">
            <x v="0"/>
          </reference>
          <reference field="3" count="1" selected="0">
            <x v="2"/>
          </reference>
        </references>
      </pivotArea>
    </chartFormat>
    <chartFormat chart="6" format="20">
      <pivotArea type="data" outline="0" fieldPosition="0">
        <references count="2">
          <reference field="4294967294" count="1" selected="0">
            <x v="0"/>
          </reference>
          <reference field="3" count="1" selected="0">
            <x v="8"/>
          </reference>
        </references>
      </pivotArea>
    </chartFormat>
    <chartFormat chart="7" format="21" series="1">
      <pivotArea type="data" outline="0" fieldPosition="0">
        <references count="1">
          <reference field="4294967294" count="1" selected="0">
            <x v="0"/>
          </reference>
        </references>
      </pivotArea>
    </chartFormat>
    <chartFormat chart="7" format="22">
      <pivotArea type="data" outline="0" fieldPosition="0">
        <references count="2">
          <reference field="4294967294" count="1" selected="0">
            <x v="0"/>
          </reference>
          <reference field="3" count="1" selected="0">
            <x v="11"/>
          </reference>
        </references>
      </pivotArea>
    </chartFormat>
    <chartFormat chart="7" format="23">
      <pivotArea type="data" outline="0" fieldPosition="0">
        <references count="2">
          <reference field="4294967294" count="1" selected="0">
            <x v="0"/>
          </reference>
          <reference field="3" count="1" selected="0">
            <x v="3"/>
          </reference>
        </references>
      </pivotArea>
    </chartFormat>
    <chartFormat chart="7" format="24">
      <pivotArea type="data" outline="0" fieldPosition="0">
        <references count="2">
          <reference field="4294967294" count="1" selected="0">
            <x v="0"/>
          </reference>
          <reference field="3" count="1" selected="0">
            <x v="14"/>
          </reference>
        </references>
      </pivotArea>
    </chartFormat>
    <chartFormat chart="7" format="25">
      <pivotArea type="data" outline="0" fieldPosition="0">
        <references count="2">
          <reference field="4294967294" count="1" selected="0">
            <x v="0"/>
          </reference>
          <reference field="3" count="1" selected="0">
            <x v="10"/>
          </reference>
        </references>
      </pivotArea>
    </chartFormat>
    <chartFormat chart="7" format="26">
      <pivotArea type="data" outline="0" fieldPosition="0">
        <references count="2">
          <reference field="4294967294" count="1" selected="0">
            <x v="0"/>
          </reference>
          <reference field="3" count="1" selected="0">
            <x v="9"/>
          </reference>
        </references>
      </pivotArea>
    </chartFormat>
    <chartFormat chart="7" format="27">
      <pivotArea type="data" outline="0" fieldPosition="0">
        <references count="2">
          <reference field="4294967294" count="1" selected="0">
            <x v="0"/>
          </reference>
          <reference field="3" count="1" selected="0">
            <x v="0"/>
          </reference>
        </references>
      </pivotArea>
    </chartFormat>
    <chartFormat chart="7" format="28">
      <pivotArea type="data" outline="0" fieldPosition="0">
        <references count="2">
          <reference field="4294967294" count="1" selected="0">
            <x v="0"/>
          </reference>
          <reference field="3" count="1" selected="0">
            <x v="6"/>
          </reference>
        </references>
      </pivotArea>
    </chartFormat>
    <chartFormat chart="7" format="29">
      <pivotArea type="data" outline="0" fieldPosition="0">
        <references count="2">
          <reference field="4294967294" count="1" selected="0">
            <x v="0"/>
          </reference>
          <reference field="3" count="1" selected="0">
            <x v="2"/>
          </reference>
        </references>
      </pivotArea>
    </chartFormat>
    <chartFormat chart="7" format="30">
      <pivotArea type="data" outline="0" fieldPosition="0">
        <references count="2">
          <reference field="4294967294" count="1" selected="0">
            <x v="0"/>
          </reference>
          <reference field="3" count="1" selected="0">
            <x v="8"/>
          </reference>
        </references>
      </pivotArea>
    </chartFormat>
    <chartFormat chart="7" format="3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96F1AD-9E62-4052-BE73-CCFD836EB19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2" firstHeaderRow="1" firstDataRow="1" firstDataCol="1"/>
  <pivotFields count="29">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Row"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items count="16">
        <item x="2"/>
        <item x="0"/>
        <item x="3"/>
        <item x="8"/>
        <item x="7"/>
        <item x="10"/>
        <item x="1"/>
        <item x="12"/>
        <item x="14"/>
        <item x="6"/>
        <item x="13"/>
        <item x="9"/>
        <item x="5"/>
        <item x="11"/>
        <item x="4"/>
        <item t="default"/>
      </items>
    </pivotField>
    <pivotField showAll="0"/>
    <pivotField showAll="0"/>
    <pivotField dataField="1" numFmtId="165"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2">
        <item x="2"/>
        <item x="0"/>
        <item x="3"/>
        <item x="7"/>
        <item x="6"/>
        <item x="9"/>
        <item x="1"/>
        <item x="10"/>
        <item x="5"/>
        <item x="8"/>
        <item x="4"/>
        <item t="default"/>
      </items>
    </pivotField>
  </pivotFields>
  <rowFields count="1">
    <field x="9"/>
  </rowFields>
  <rowItems count="9">
    <i>
      <x v="2"/>
    </i>
    <i>
      <x v="7"/>
    </i>
    <i>
      <x v="5"/>
    </i>
    <i>
      <x v="3"/>
    </i>
    <i>
      <x v="4"/>
    </i>
    <i>
      <x/>
    </i>
    <i>
      <x v="1"/>
    </i>
    <i>
      <x v="6"/>
    </i>
    <i t="grand">
      <x/>
    </i>
  </rowItems>
  <colItems count="1">
    <i/>
  </colItems>
  <dataFields count="1">
    <dataField name="Sum of Revenue" fld="24" baseField="0" baseItem="0" numFmtId="165"/>
  </dataFields>
  <chartFormats count="1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9" count="1" selected="0">
            <x v="1"/>
          </reference>
        </references>
      </pivotArea>
    </chartFormat>
    <chartFormat chart="5" format="22">
      <pivotArea type="data" outline="0" fieldPosition="0">
        <references count="2">
          <reference field="4294967294" count="1" selected="0">
            <x v="0"/>
          </reference>
          <reference field="9" count="1" selected="0">
            <x v="0"/>
          </reference>
        </references>
      </pivotArea>
    </chartFormat>
    <chartFormat chart="5" format="23">
      <pivotArea type="data" outline="0" fieldPosition="0">
        <references count="2">
          <reference field="4294967294" count="1" selected="0">
            <x v="0"/>
          </reference>
          <reference field="9" count="1" selected="0">
            <x v="4"/>
          </reference>
        </references>
      </pivotArea>
    </chartFormat>
    <chartFormat chart="5" format="24">
      <pivotArea type="data" outline="0" fieldPosition="0">
        <references count="2">
          <reference field="4294967294" count="1" selected="0">
            <x v="0"/>
          </reference>
          <reference field="9" count="1" selected="0">
            <x v="3"/>
          </reference>
        </references>
      </pivotArea>
    </chartFormat>
    <chartFormat chart="5" format="25">
      <pivotArea type="data" outline="0" fieldPosition="0">
        <references count="2">
          <reference field="4294967294" count="1" selected="0">
            <x v="0"/>
          </reference>
          <reference field="9" count="1" selected="0">
            <x v="5"/>
          </reference>
        </references>
      </pivotArea>
    </chartFormat>
    <chartFormat chart="5" format="26">
      <pivotArea type="data" outline="0" fieldPosition="0">
        <references count="2">
          <reference field="4294967294" count="1" selected="0">
            <x v="0"/>
          </reference>
          <reference field="9" count="1" selected="0">
            <x v="7"/>
          </reference>
        </references>
      </pivotArea>
    </chartFormat>
    <chartFormat chart="5" format="27">
      <pivotArea type="data" outline="0" fieldPosition="0">
        <references count="2">
          <reference field="4294967294" count="1" selected="0">
            <x v="0"/>
          </reference>
          <reference field="9" count="1" selected="0">
            <x v="2"/>
          </reference>
        </references>
      </pivotArea>
    </chartFormat>
    <chartFormat chart="7" format="36" series="1">
      <pivotArea type="data" outline="0" fieldPosition="0">
        <references count="1">
          <reference field="4294967294" count="1" selected="0">
            <x v="0"/>
          </reference>
        </references>
      </pivotArea>
    </chartFormat>
    <chartFormat chart="7" format="37">
      <pivotArea type="data" outline="0" fieldPosition="0">
        <references count="2">
          <reference field="4294967294" count="1" selected="0">
            <x v="0"/>
          </reference>
          <reference field="9" count="1" selected="0">
            <x v="2"/>
          </reference>
        </references>
      </pivotArea>
    </chartFormat>
    <chartFormat chart="7" format="38">
      <pivotArea type="data" outline="0" fieldPosition="0">
        <references count="2">
          <reference field="4294967294" count="1" selected="0">
            <x v="0"/>
          </reference>
          <reference field="9" count="1" selected="0">
            <x v="7"/>
          </reference>
        </references>
      </pivotArea>
    </chartFormat>
    <chartFormat chart="7" format="39">
      <pivotArea type="data" outline="0" fieldPosition="0">
        <references count="2">
          <reference field="4294967294" count="1" selected="0">
            <x v="0"/>
          </reference>
          <reference field="9" count="1" selected="0">
            <x v="5"/>
          </reference>
        </references>
      </pivotArea>
    </chartFormat>
    <chartFormat chart="7" format="40">
      <pivotArea type="data" outline="0" fieldPosition="0">
        <references count="2">
          <reference field="4294967294" count="1" selected="0">
            <x v="0"/>
          </reference>
          <reference field="9" count="1" selected="0">
            <x v="3"/>
          </reference>
        </references>
      </pivotArea>
    </chartFormat>
    <chartFormat chart="7" format="41">
      <pivotArea type="data" outline="0" fieldPosition="0">
        <references count="2">
          <reference field="4294967294" count="1" selected="0">
            <x v="0"/>
          </reference>
          <reference field="9" count="1" selected="0">
            <x v="4"/>
          </reference>
        </references>
      </pivotArea>
    </chartFormat>
    <chartFormat chart="7" format="42">
      <pivotArea type="data" outline="0" fieldPosition="0">
        <references count="2">
          <reference field="4294967294" count="1" selected="0">
            <x v="0"/>
          </reference>
          <reference field="9" count="1" selected="0">
            <x v="0"/>
          </reference>
        </references>
      </pivotArea>
    </chartFormat>
    <chartFormat chart="7" format="43">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8626BB-69E6-4DE0-84A0-61B860E093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29">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items count="16">
        <item x="2"/>
        <item x="0"/>
        <item x="3"/>
        <item x="8"/>
        <item x="7"/>
        <item x="10"/>
        <item x="1"/>
        <item x="12"/>
        <item x="14"/>
        <item x="6"/>
        <item x="13"/>
        <item x="9"/>
        <item x="5"/>
        <item x="11"/>
        <item x="4"/>
        <item t="default"/>
      </items>
    </pivotField>
    <pivotField showAll="0"/>
    <pivotField showAll="0"/>
    <pivotField dataField="1" numFmtId="165"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2">
        <item x="2"/>
        <item x="0"/>
        <item x="3"/>
        <item x="7"/>
        <item x="6"/>
        <item x="9"/>
        <item x="1"/>
        <item x="10"/>
        <item x="5"/>
        <item x="8"/>
        <item x="4"/>
        <item t="default"/>
      </items>
    </pivotField>
  </pivotFields>
  <rowFields count="1">
    <field x="10"/>
  </rowFields>
  <rowItems count="5">
    <i>
      <x v="1"/>
    </i>
    <i>
      <x/>
    </i>
    <i>
      <x v="2"/>
    </i>
    <i>
      <x v="3"/>
    </i>
    <i t="grand">
      <x/>
    </i>
  </rowItems>
  <colItems count="1">
    <i/>
  </colItems>
  <dataFields count="1">
    <dataField name="Sum of Revenue" fld="24" showDataAs="percentOfTotal" baseField="10" baseItem="0" numFmtId="10"/>
  </dataFields>
  <chartFormats count="1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6" format="28" series="1">
      <pivotArea type="data" outline="0" fieldPosition="0">
        <references count="1">
          <reference field="4294967294" count="1" selected="0">
            <x v="0"/>
          </reference>
        </references>
      </pivotArea>
    </chartFormat>
    <chartFormat chart="6" format="36">
      <pivotArea type="data" outline="0" fieldPosition="0">
        <references count="2">
          <reference field="4294967294" count="1" selected="0">
            <x v="0"/>
          </reference>
          <reference field="10" count="1" selected="0">
            <x v="0"/>
          </reference>
        </references>
      </pivotArea>
    </chartFormat>
    <chartFormat chart="6" format="37">
      <pivotArea type="data" outline="0" fieldPosition="0">
        <references count="2">
          <reference field="4294967294" count="1" selected="0">
            <x v="0"/>
          </reference>
          <reference field="10" count="1" selected="0">
            <x v="2"/>
          </reference>
        </references>
      </pivotArea>
    </chartFormat>
    <chartFormat chart="6" format="38">
      <pivotArea type="data" outline="0" fieldPosition="0">
        <references count="2">
          <reference field="4294967294" count="1" selected="0">
            <x v="0"/>
          </reference>
          <reference field="10" count="1" selected="0">
            <x v="3"/>
          </reference>
        </references>
      </pivotArea>
    </chartFormat>
    <chartFormat chart="6" format="39">
      <pivotArea type="data" outline="0" fieldPosition="0">
        <references count="2">
          <reference field="4294967294" count="1" selected="0">
            <x v="0"/>
          </reference>
          <reference field="10" count="1" selected="0">
            <x v="1"/>
          </reference>
        </references>
      </pivotArea>
    </chartFormat>
    <chartFormat chart="9" format="45" series="1">
      <pivotArea type="data" outline="0" fieldPosition="0">
        <references count="1">
          <reference field="4294967294" count="1" selected="0">
            <x v="0"/>
          </reference>
        </references>
      </pivotArea>
    </chartFormat>
    <chartFormat chart="9" format="46">
      <pivotArea type="data" outline="0" fieldPosition="0">
        <references count="2">
          <reference field="4294967294" count="1" selected="0">
            <x v="0"/>
          </reference>
          <reference field="10" count="1" selected="0">
            <x v="1"/>
          </reference>
        </references>
      </pivotArea>
    </chartFormat>
    <chartFormat chart="9" format="47">
      <pivotArea type="data" outline="0" fieldPosition="0">
        <references count="2">
          <reference field="4294967294" count="1" selected="0">
            <x v="0"/>
          </reference>
          <reference field="10" count="1" selected="0">
            <x v="0"/>
          </reference>
        </references>
      </pivotArea>
    </chartFormat>
    <chartFormat chart="9" format="48">
      <pivotArea type="data" outline="0" fieldPosition="0">
        <references count="2">
          <reference field="4294967294" count="1" selected="0">
            <x v="0"/>
          </reference>
          <reference field="10" count="1" selected="0">
            <x v="2"/>
          </reference>
        </references>
      </pivotArea>
    </chartFormat>
    <chartFormat chart="9" format="49">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A3ED1B-F14D-4830-B241-9AD4B95EE0C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9" firstHeaderRow="1" firstDataRow="1" firstDataCol="1"/>
  <pivotFields count="29">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axis="axisRow"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sortType="ascending">
      <items count="12">
        <item sd="0" x="2"/>
        <item sd="0" x="0"/>
        <item sd="0" x="3"/>
        <item sd="0" x="7"/>
        <item sd="0" x="6"/>
        <item sd="0" x="9"/>
        <item sd="0" x="1"/>
        <item n="Others" sd="0" x="10"/>
        <item sd="0" x="5"/>
        <item sd="0" x="8"/>
        <item sd="0" x="4"/>
        <item t="default"/>
      </items>
      <autoSortScope>
        <pivotArea dataOnly="0" outline="0" fieldPosition="0">
          <references count="1">
            <reference field="4294967294" count="1" selected="0">
              <x v="0"/>
            </reference>
          </references>
        </pivotArea>
      </autoSortScope>
    </pivotField>
  </pivotFields>
  <rowFields count="1">
    <field x="21"/>
  </rowFields>
  <rowItems count="6">
    <i>
      <x v="1"/>
    </i>
    <i>
      <x v="12"/>
    </i>
    <i>
      <x v="9"/>
    </i>
    <i>
      <x v="5"/>
    </i>
    <i>
      <x v="6"/>
    </i>
    <i t="grand">
      <x/>
    </i>
  </rowItems>
  <colItems count="1">
    <i/>
  </colItems>
  <dataFields count="1">
    <dataField name="Sum of Revenue" fld="24" baseField="0" baseItem="0" numFmtId="165"/>
  </dataField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6" format="28" series="1">
      <pivotArea type="data" outline="0" fieldPosition="0">
        <references count="1">
          <reference field="4294967294" count="1" selected="0">
            <x v="0"/>
          </reference>
        </references>
      </pivotArea>
    </chartFormat>
    <chartFormat chart="8" format="39" series="1">
      <pivotArea type="data" outline="0" fieldPosition="0">
        <references count="1">
          <reference field="4294967294" count="1" selected="0">
            <x v="0"/>
          </reference>
        </references>
      </pivotArea>
    </chartFormat>
    <chartFormat chart="9" format="48" series="1">
      <pivotArea type="data" outline="0" fieldPosition="0">
        <references count="1">
          <reference field="4294967294" count="1" selected="0">
            <x v="0"/>
          </reference>
        </references>
      </pivotArea>
    </chartFormat>
    <chartFormat chart="9" format="73">
      <pivotArea type="data" outline="0" fieldPosition="0">
        <references count="2">
          <reference field="4294967294" count="1" selected="0">
            <x v="0"/>
          </reference>
          <reference field="21" count="1" selected="0">
            <x v="12"/>
          </reference>
        </references>
      </pivotArea>
    </chartFormat>
    <chartFormat chart="9" format="74">
      <pivotArea type="data" outline="0" fieldPosition="0">
        <references count="2">
          <reference field="4294967294" count="1" selected="0">
            <x v="0"/>
          </reference>
          <reference field="21" count="1" selected="0">
            <x v="9"/>
          </reference>
        </references>
      </pivotArea>
    </chartFormat>
    <chartFormat chart="9" format="75">
      <pivotArea type="data" outline="0" fieldPosition="0">
        <references count="2">
          <reference field="4294967294" count="1" selected="0">
            <x v="0"/>
          </reference>
          <reference field="21" count="1" selected="0">
            <x v="5"/>
          </reference>
        </references>
      </pivotArea>
    </chartFormat>
    <chartFormat chart="9" format="76">
      <pivotArea type="data" outline="0" fieldPosition="0">
        <references count="2">
          <reference field="4294967294" count="1" selected="0">
            <x v="0"/>
          </reference>
          <reference field="21" count="1" selected="0">
            <x v="6"/>
          </reference>
        </references>
      </pivotArea>
    </chartFormat>
    <chartFormat chart="20" format="82" series="1">
      <pivotArea type="data" outline="0" fieldPosition="0">
        <references count="1">
          <reference field="4294967294" count="1" selected="0">
            <x v="0"/>
          </reference>
        </references>
      </pivotArea>
    </chartFormat>
    <chartFormat chart="20" format="83">
      <pivotArea type="data" outline="0" fieldPosition="0">
        <references count="2">
          <reference field="4294967294" count="1" selected="0">
            <x v="0"/>
          </reference>
          <reference field="21" count="1" selected="0">
            <x v="12"/>
          </reference>
        </references>
      </pivotArea>
    </chartFormat>
    <chartFormat chart="20" format="84">
      <pivotArea type="data" outline="0" fieldPosition="0">
        <references count="2">
          <reference field="4294967294" count="1" selected="0">
            <x v="0"/>
          </reference>
          <reference field="21" count="1" selected="0">
            <x v="9"/>
          </reference>
        </references>
      </pivotArea>
    </chartFormat>
    <chartFormat chart="20" format="85">
      <pivotArea type="data" outline="0" fieldPosition="0">
        <references count="2">
          <reference field="4294967294" count="1" selected="0">
            <x v="0"/>
          </reference>
          <reference field="21" count="1" selected="0">
            <x v="5"/>
          </reference>
        </references>
      </pivotArea>
    </chartFormat>
    <chartFormat chart="20" format="86">
      <pivotArea type="data" outline="0" fieldPosition="0">
        <references count="2">
          <reference field="4294967294" count="1" selected="0">
            <x v="0"/>
          </reference>
          <reference field="21" count="1" selected="0">
            <x v="6"/>
          </reference>
        </references>
      </pivotArea>
    </chartFormat>
  </chartFormats>
  <pivotTableStyleInfo name="PivotStyleLight16" showRowHeaders="1" showColHeaders="1" showRowStripes="0" showColStripes="0" showLastColumn="1"/>
  <filters count="2">
    <filter fld="3" type="count" evalOrder="-1" id="1" iMeasureFld="0">
      <autoFilter ref="A1">
        <filterColumn colId="0">
          <top10 val="10" filterVal="10"/>
        </filterColumn>
      </autoFilter>
    </filter>
    <filter fld="2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227127-B0E5-4872-AEE9-A0F01C4AF1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9" firstHeaderRow="1" firstDataRow="1" firstDataCol="1"/>
  <pivotFields count="29">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axis="axisRow" showAll="0" measureFilter="1" sortType="a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sortType="ascending">
      <items count="12">
        <item sd="0" x="2"/>
        <item sd="0" x="0"/>
        <item sd="0" x="3"/>
        <item sd="0" x="7"/>
        <item sd="0" x="6"/>
        <item sd="0" x="9"/>
        <item sd="0" x="1"/>
        <item n="Others" sd="0" x="10"/>
        <item sd="0" x="5"/>
        <item sd="0" x="8"/>
        <item sd="0" x="4"/>
        <item t="default"/>
      </items>
      <autoSortScope>
        <pivotArea dataOnly="0" outline="0" fieldPosition="0">
          <references count="1">
            <reference field="4294967294" count="1" selected="0">
              <x v="0"/>
            </reference>
          </references>
        </pivotArea>
      </autoSortScope>
    </pivotField>
  </pivotFields>
  <rowFields count="1">
    <field x="5"/>
  </rowFields>
  <rowItems count="6">
    <i>
      <x v="1"/>
    </i>
    <i>
      <x v="5"/>
    </i>
    <i>
      <x v="6"/>
    </i>
    <i>
      <x v="9"/>
    </i>
    <i>
      <x v="8"/>
    </i>
    <i t="grand">
      <x/>
    </i>
  </rowItems>
  <colItems count="1">
    <i/>
  </colItems>
  <dataFields count="1">
    <dataField name="Sum of Revenue" fld="24" baseField="0" baseItem="0" numFmtId="165"/>
  </dataField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6" format="28" series="1">
      <pivotArea type="data" outline="0" fieldPosition="0">
        <references count="1">
          <reference field="4294967294" count="1" selected="0">
            <x v="0"/>
          </reference>
        </references>
      </pivotArea>
    </chartFormat>
    <chartFormat chart="8" format="39" series="1">
      <pivotArea type="data" outline="0" fieldPosition="0">
        <references count="1">
          <reference field="4294967294" count="1" selected="0">
            <x v="0"/>
          </reference>
        </references>
      </pivotArea>
    </chartFormat>
    <chartFormat chart="9" format="48"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5" count="1" selected="0">
            <x v="1"/>
          </reference>
        </references>
      </pivotArea>
    </chartFormat>
    <chartFormat chart="20" format="2">
      <pivotArea type="data" outline="0" fieldPosition="0">
        <references count="2">
          <reference field="4294967294" count="1" selected="0">
            <x v="0"/>
          </reference>
          <reference field="5" count="1" selected="0">
            <x v="5"/>
          </reference>
        </references>
      </pivotArea>
    </chartFormat>
    <chartFormat chart="20" format="3">
      <pivotArea type="data" outline="0" fieldPosition="0">
        <references count="2">
          <reference field="4294967294" count="1" selected="0">
            <x v="0"/>
          </reference>
          <reference field="5" count="1" selected="0">
            <x v="6"/>
          </reference>
        </references>
      </pivotArea>
    </chartFormat>
    <chartFormat chart="20" format="4">
      <pivotArea type="data" outline="0" fieldPosition="0">
        <references count="2">
          <reference field="4294967294" count="1" selected="0">
            <x v="0"/>
          </reference>
          <reference field="5" count="1" selected="0">
            <x v="9"/>
          </reference>
        </references>
      </pivotArea>
    </chartFormat>
    <chartFormat chart="20" format="5">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filters count="4">
    <filter fld="5" type="count" evalOrder="-1" id="5" iMeasureFld="0">
      <autoFilter ref="A1">
        <filterColumn colId="0">
          <top10 val="5" filterVal="5"/>
        </filterColumn>
      </autoFilter>
    </filter>
    <filter fld="3" type="count" evalOrder="-1" id="1" iMeasureFld="0">
      <autoFilter ref="A1">
        <filterColumn colId="0">
          <top10 val="10" filterVal="10"/>
        </filterColumn>
      </autoFilter>
    </filter>
    <filter fld="21" type="count" evalOrder="-1" id="2" iMeasureFld="0">
      <autoFilter ref="A1">
        <filterColumn colId="0">
          <top10 val="5" filterVal="5"/>
        </filterColumn>
      </autoFilter>
    </filter>
    <filter fld="15" type="count" evalOrder="-1" id="3"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873E7A-3EF9-421D-AA3C-5B98C2292F1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6" firstHeaderRow="1" firstDataRow="1" firstDataCol="1"/>
  <pivotFields count="29">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measureFilter="1" sortType="ascending">
      <autoSortScope>
        <pivotArea dataOnly="0" outline="0" fieldPosition="0">
          <references count="1">
            <reference field="4294967294" count="1" selected="0">
              <x v="0"/>
            </reference>
          </references>
        </pivotArea>
      </autoSortScope>
    </pivotField>
    <pivotField axis="axisRow" showAll="0" sortType="descending">
      <items count="13">
        <item x="4"/>
        <item x="3"/>
        <item x="9"/>
        <item x="8"/>
        <item x="7"/>
        <item x="0"/>
        <item x="1"/>
        <item x="2"/>
        <item x="6"/>
        <item x="11"/>
        <item x="10"/>
        <item x="5"/>
        <item t="default"/>
      </items>
      <autoSortScope>
        <pivotArea dataOnly="0" outline="0" fieldPosition="0">
          <references count="1">
            <reference field="4294967294" count="1" selected="0">
              <x v="0"/>
            </reference>
          </references>
        </pivotArea>
      </autoSortScope>
    </pivotField>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sortType="ascending">
      <items count="12">
        <item sd="0" x="2"/>
        <item sd="0" x="0"/>
        <item sd="0" x="3"/>
        <item sd="0" x="7"/>
        <item sd="0" x="6"/>
        <item sd="0" x="9"/>
        <item sd="0" x="1"/>
        <item n="Others" sd="0" x="10"/>
        <item sd="0" x="5"/>
        <item sd="0" x="8"/>
        <item sd="0" x="4"/>
        <item t="default"/>
      </items>
      <autoSortScope>
        <pivotArea dataOnly="0" outline="0" fieldPosition="0">
          <references count="1">
            <reference field="4294967294" count="1" selected="0">
              <x v="0"/>
            </reference>
          </references>
        </pivotArea>
      </autoSortScope>
    </pivotField>
  </pivotFields>
  <rowFields count="1">
    <field x="6"/>
  </rowFields>
  <rowItems count="13">
    <i>
      <x v="6"/>
    </i>
    <i>
      <x v="7"/>
    </i>
    <i>
      <x v="2"/>
    </i>
    <i>
      <x v="8"/>
    </i>
    <i>
      <x v="4"/>
    </i>
    <i>
      <x v="11"/>
    </i>
    <i>
      <x v="10"/>
    </i>
    <i>
      <x v="9"/>
    </i>
    <i>
      <x/>
    </i>
    <i>
      <x v="3"/>
    </i>
    <i>
      <x v="1"/>
    </i>
    <i>
      <x v="5"/>
    </i>
    <i t="grand">
      <x/>
    </i>
  </rowItems>
  <colItems count="1">
    <i/>
  </colItems>
  <dataFields count="1">
    <dataField name="Sum of Revenue" fld="24" baseField="0" baseItem="0" numFmtId="165"/>
  </dataField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6" format="28" series="1">
      <pivotArea type="data" outline="0" fieldPosition="0">
        <references count="1">
          <reference field="4294967294" count="1" selected="0">
            <x v="0"/>
          </reference>
        </references>
      </pivotArea>
    </chartFormat>
    <chartFormat chart="8" format="39" series="1">
      <pivotArea type="data" outline="0" fieldPosition="0">
        <references count="1">
          <reference field="4294967294" count="1" selected="0">
            <x v="0"/>
          </reference>
        </references>
      </pivotArea>
    </chartFormat>
    <chartFormat chart="9" format="48" series="1">
      <pivotArea type="data" outline="0" fieldPosition="0">
        <references count="1">
          <reference field="4294967294" count="1" selected="0">
            <x v="0"/>
          </reference>
        </references>
      </pivotArea>
    </chartFormat>
    <chartFormat chart="18" format="77"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4">
    <filter fld="3" type="count" evalOrder="-1" id="1" iMeasureFld="0">
      <autoFilter ref="A1">
        <filterColumn colId="0">
          <top10 val="10" filterVal="10"/>
        </filterColumn>
      </autoFilter>
    </filter>
    <filter fld="21" type="count" evalOrder="-1" id="2" iMeasureFld="0">
      <autoFilter ref="A1">
        <filterColumn colId="0">
          <top10 val="5" filterVal="5"/>
        </filterColumn>
      </autoFilter>
    </filter>
    <filter fld="5" type="count" evalOrder="-1" id="4" iMeasureFld="0">
      <autoFilter ref="A1">
        <filterColumn colId="0">
          <top10 val="5" filterVal="5"/>
        </filterColumn>
      </autoFilter>
    </filter>
    <filter fld="15" type="count" evalOrder="-1" id="5"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EAC3F2-EE21-40E7-9C24-3F39E36043D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0" firstHeaderRow="1" firstDataRow="1" firstDataCol="1"/>
  <pivotFields count="29">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axis="axisRow" showAll="0" measureFilter="1" sortType="descending">
      <items count="13">
        <item x="8"/>
        <item x="7"/>
        <item x="3"/>
        <item x="0"/>
        <item x="4"/>
        <item x="6"/>
        <item x="9"/>
        <item x="5"/>
        <item x="1"/>
        <item x="2"/>
        <item x="11"/>
        <item x="1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dataField="1" numFmtId="165" showAll="0"/>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sortType="ascending">
      <items count="12">
        <item sd="0" x="2"/>
        <item sd="0" x="0"/>
        <item sd="0" x="3"/>
        <item sd="0" x="7"/>
        <item sd="0" x="6"/>
        <item sd="0" x="9"/>
        <item sd="0" x="1"/>
        <item n="Others" sd="0" x="10"/>
        <item sd="0" x="5"/>
        <item sd="0" x="8"/>
        <item sd="0" x="4"/>
        <item t="default"/>
      </items>
      <autoSortScope>
        <pivotArea dataOnly="0" outline="0" fieldPosition="0">
          <references count="1">
            <reference field="4294967294" count="1" selected="0">
              <x v="0"/>
            </reference>
          </references>
        </pivotArea>
      </autoSortScope>
    </pivotField>
  </pivotFields>
  <rowFields count="1">
    <field x="15"/>
  </rowFields>
  <rowItems count="7">
    <i>
      <x v="8"/>
    </i>
    <i>
      <x v="9"/>
    </i>
    <i>
      <x v="6"/>
    </i>
    <i>
      <x v="5"/>
    </i>
    <i>
      <x v="1"/>
    </i>
    <i>
      <x v="7"/>
    </i>
    <i t="grand">
      <x/>
    </i>
  </rowItems>
  <colItems count="1">
    <i/>
  </colItems>
  <dataFields count="1">
    <dataField name="Sum of Revenue" fld="24" baseField="0" baseItem="0" numFmtId="165"/>
  </dataField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6" format="28" series="1">
      <pivotArea type="data" outline="0" fieldPosition="0">
        <references count="1">
          <reference field="4294967294" count="1" selected="0">
            <x v="0"/>
          </reference>
        </references>
      </pivotArea>
    </chartFormat>
    <chartFormat chart="8" format="39" series="1">
      <pivotArea type="data" outline="0" fieldPosition="0">
        <references count="1">
          <reference field="4294967294" count="1" selected="0">
            <x v="0"/>
          </reference>
        </references>
      </pivotArea>
    </chartFormat>
    <chartFormat chart="9" format="48" series="1">
      <pivotArea type="data" outline="0" fieldPosition="0">
        <references count="1">
          <reference field="4294967294" count="1" selected="0">
            <x v="0"/>
          </reference>
        </references>
      </pivotArea>
    </chartFormat>
    <chartFormat chart="18" format="77"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4">
    <filter fld="15" type="count" evalOrder="-1" id="6" iMeasureFld="0">
      <autoFilter ref="A1">
        <filterColumn colId="0">
          <top10 val="6" filterVal="6"/>
        </filterColumn>
      </autoFilter>
    </filter>
    <filter fld="3" type="count" evalOrder="-1" id="1" iMeasureFld="0">
      <autoFilter ref="A1">
        <filterColumn colId="0">
          <top10 val="10" filterVal="10"/>
        </filterColumn>
      </autoFilter>
    </filter>
    <filter fld="21" type="count" evalOrder="-1" id="2" iMeasureFld="0">
      <autoFilter ref="A1">
        <filterColumn colId="0">
          <top10 val="5" filterVal="5"/>
        </filterColumn>
      </autoFilter>
    </filter>
    <filter fld="5"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0237E8-E659-46CA-8C47-0AE17032723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11" firstHeaderRow="1" firstDataRow="1" firstDataCol="1"/>
  <pivotFields count="29">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measureFilter="1" sortType="ascending">
      <autoSortScope>
        <pivotArea dataOnly="0" outline="0" fieldPosition="0">
          <references count="1">
            <reference field="4294967294" count="1" selected="0">
              <x v="0"/>
            </reference>
          </references>
        </pivotArea>
      </autoSortScope>
    </pivotField>
    <pivotField showAll="0"/>
    <pivotField showAll="0"/>
    <pivotField showAll="0"/>
    <pivotField showAll="0" sortType="ascending">
      <items count="9">
        <item x="1"/>
        <item x="5"/>
        <item x="3"/>
        <item x="6"/>
        <item x="0"/>
        <item x="4"/>
        <item x="2"/>
        <item x="7"/>
        <item t="default"/>
      </items>
      <autoSortScope>
        <pivotArea dataOnly="0" outline="0" fieldPosition="0">
          <references count="1">
            <reference field="4294967294" count="1" selected="0">
              <x v="0"/>
            </reference>
          </references>
        </pivotArea>
      </autoSortScope>
    </pivotField>
    <pivotField showAll="0" sortType="a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measureFilter="1"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sortType="ascending">
      <autoSortScope>
        <pivotArea dataOnly="0" outline="0" fieldPosition="0">
          <references count="1">
            <reference field="4294967294" count="1" selected="0">
              <x v="0"/>
            </reference>
          </references>
        </pivotArea>
      </autoSortScope>
    </pivotField>
    <pivotField showAll="0">
      <items count="26">
        <item x="18"/>
        <item x="0"/>
        <item x="11"/>
        <item x="12"/>
        <item x="4"/>
        <item x="7"/>
        <item x="6"/>
        <item x="8"/>
        <item x="5"/>
        <item x="13"/>
        <item x="9"/>
        <item x="3"/>
        <item x="2"/>
        <item x="1"/>
        <item x="19"/>
        <item x="20"/>
        <item x="10"/>
        <item x="24"/>
        <item x="23"/>
        <item x="15"/>
        <item x="22"/>
        <item x="14"/>
        <item x="21"/>
        <item x="16"/>
        <item x="17"/>
        <item t="default"/>
      </items>
    </pivotField>
    <pivotField showAll="0" measureFilter="1" sortType="descending">
      <items count="16">
        <item x="2"/>
        <item x="0"/>
        <item x="3"/>
        <item x="8"/>
        <item x="7"/>
        <item x="10"/>
        <item x="1"/>
        <item x="12"/>
        <item x="14"/>
        <item x="6"/>
        <item x="13"/>
        <item x="9"/>
        <item x="5"/>
        <item x="11"/>
        <item x="4"/>
        <item t="default"/>
      </items>
      <autoSortScope>
        <pivotArea dataOnly="0" outline="0" fieldPosition="0">
          <references count="1">
            <reference field="4294967294" count="1" selected="0">
              <x v="0"/>
            </reference>
          </references>
        </pivotArea>
      </autoSortScope>
    </pivotField>
    <pivotField showAll="0"/>
    <pivotField showAll="0"/>
    <pivotField axis="axisRow" dataField="1" numFmtId="165" showAll="0">
      <items count="11">
        <item x="0"/>
        <item x="1"/>
        <item x="2"/>
        <item x="3"/>
        <item x="4"/>
        <item x="5"/>
        <item x="6"/>
        <item x="7"/>
        <item x="8"/>
        <item x="9"/>
        <item t="default"/>
      </items>
    </pivotField>
    <pivotField numFmtId="165"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sortType="ascending">
      <items count="12">
        <item sd="0" x="2"/>
        <item sd="0" x="0"/>
        <item sd="0" x="3"/>
        <item sd="0" x="7"/>
        <item sd="0" x="6"/>
        <item sd="0" x="9"/>
        <item sd="0" x="1"/>
        <item n="Others" sd="0" x="10"/>
        <item sd="0" x="5"/>
        <item sd="0" x="8"/>
        <item sd="0" x="4"/>
        <item t="default"/>
      </items>
      <autoSortScope>
        <pivotArea dataOnly="0" outline="0" fieldPosition="0">
          <references count="1">
            <reference field="4294967294" count="1" selected="0">
              <x v="0"/>
            </reference>
          </references>
        </pivotArea>
      </autoSortScope>
    </pivotField>
  </pivotFields>
  <rowFields count="1">
    <field x="24"/>
  </rowFields>
  <rowItems count="8">
    <i>
      <x v="1"/>
    </i>
    <i>
      <x v="2"/>
    </i>
    <i>
      <x v="3"/>
    </i>
    <i>
      <x v="4"/>
    </i>
    <i>
      <x v="5"/>
    </i>
    <i>
      <x v="7"/>
    </i>
    <i>
      <x v="8"/>
    </i>
    <i t="grand">
      <x/>
    </i>
  </rowItems>
  <colItems count="1">
    <i/>
  </colItems>
  <dataFields count="1">
    <dataField name="Count of Revenue" fld="24" subtotal="count" baseField="0" baseItem="0"/>
  </dataField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6" format="28" series="1">
      <pivotArea type="data" outline="0" fieldPosition="0">
        <references count="1">
          <reference field="4294967294" count="1" selected="0">
            <x v="0"/>
          </reference>
        </references>
      </pivotArea>
    </chartFormat>
    <chartFormat chart="8" format="39" series="1">
      <pivotArea type="data" outline="0" fieldPosition="0">
        <references count="1">
          <reference field="4294967294" count="1" selected="0">
            <x v="0"/>
          </reference>
        </references>
      </pivotArea>
    </chartFormat>
    <chartFormat chart="9" format="48" series="1">
      <pivotArea type="data" outline="0" fieldPosition="0">
        <references count="1">
          <reference field="4294967294" count="1" selected="0">
            <x v="0"/>
          </reference>
        </references>
      </pivotArea>
    </chartFormat>
    <chartFormat chart="18" format="77"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24" count="1" selected="0">
            <x v="2"/>
          </reference>
        </references>
      </pivotArea>
    </chartFormat>
    <chartFormat chart="22" format="2">
      <pivotArea type="data" outline="0" fieldPosition="0">
        <references count="2">
          <reference field="4294967294" count="1" selected="0">
            <x v="0"/>
          </reference>
          <reference field="24" count="1" selected="0">
            <x v="3"/>
          </reference>
        </references>
      </pivotArea>
    </chartFormat>
    <chartFormat chart="22" format="3">
      <pivotArea type="data" outline="0" fieldPosition="0">
        <references count="2">
          <reference field="4294967294" count="1" selected="0">
            <x v="0"/>
          </reference>
          <reference field="24" count="1" selected="0">
            <x v="4"/>
          </reference>
        </references>
      </pivotArea>
    </chartFormat>
    <chartFormat chart="22" format="4">
      <pivotArea type="data" outline="0" fieldPosition="0">
        <references count="2">
          <reference field="4294967294" count="1" selected="0">
            <x v="0"/>
          </reference>
          <reference field="24" count="1" selected="0">
            <x v="5"/>
          </reference>
        </references>
      </pivotArea>
    </chartFormat>
    <chartFormat chart="22" format="5">
      <pivotArea type="data" outline="0" fieldPosition="0">
        <references count="2">
          <reference field="4294967294" count="1" selected="0">
            <x v="0"/>
          </reference>
          <reference field="24" count="1" selected="0">
            <x v="7"/>
          </reference>
        </references>
      </pivotArea>
    </chartFormat>
    <chartFormat chart="22" format="6">
      <pivotArea type="data" outline="0" fieldPosition="0">
        <references count="2">
          <reference field="4294967294" count="1" selected="0">
            <x v="0"/>
          </reference>
          <reference field="24" count="1" selected="0">
            <x v="8"/>
          </reference>
        </references>
      </pivotArea>
    </chartFormat>
  </chartFormats>
  <pivotTableStyleInfo name="PivotStyleLight16" showRowHeaders="1" showColHeaders="1" showRowStripes="0" showColStripes="0" showLastColumn="1"/>
  <filters count="4">
    <filter fld="3" type="count" evalOrder="-1" id="1" iMeasureFld="0">
      <autoFilter ref="A1">
        <filterColumn colId="0">
          <top10 val="10" filterVal="10"/>
        </filterColumn>
      </autoFilter>
    </filter>
    <filter fld="21" type="count" evalOrder="-1" id="2" iMeasureFld="0">
      <autoFilter ref="A1">
        <filterColumn colId="0">
          <top10 val="5" filterVal="5"/>
        </filterColumn>
      </autoFilter>
    </filter>
    <filter fld="5" type="count" evalOrder="-1" id="4" iMeasureFld="0">
      <autoFilter ref="A1">
        <filterColumn colId="0">
          <top10 val="5" filterVal="5"/>
        </filterColumn>
      </autoFilter>
    </filter>
    <filter fld="15" type="count" evalOrder="-1" id="6"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F50D458-63CF-42F9-AF12-8344C8A09CE9}" sourceName="Salesperson">
  <pivotTables>
    <pivotTable tabId="24" name="PivotTable1"/>
    <pivotTable tabId="26" name="PivotTable1"/>
    <pivotTable tabId="23" name="PivotTable1"/>
    <pivotTable tabId="19" name="PivotTable1"/>
    <pivotTable tabId="30" name="PivotTable1"/>
    <pivotTable tabId="22" name="PivotTable1"/>
    <pivotTable tabId="27" name="PivotTable1"/>
    <pivotTable tabId="29" name="PivotTable1"/>
    <pivotTable tabId="31" name="PivotTable1"/>
  </pivotTables>
  <data>
    <tabular pivotCacheId="1578724120">
      <items count="8">
        <i x="1" s="1"/>
        <i x="5" s="1"/>
        <i x="3" s="1"/>
        <i x="6" s="1"/>
        <i x="0" s="1"/>
        <i x="4" s="1"/>
        <i x="2"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F933936-EDF0-4E29-BD3D-6DBE57389F82}" sourceName="Product Name">
  <pivotTables>
    <pivotTable tabId="24" name="PivotTable1"/>
    <pivotTable tabId="26" name="PivotTable1"/>
    <pivotTable tabId="23" name="PivotTable1"/>
    <pivotTable tabId="19" name="PivotTable1"/>
    <pivotTable tabId="30" name="PivotTable1"/>
    <pivotTable tabId="22" name="PivotTable1"/>
    <pivotTable tabId="27" name="PivotTable1"/>
    <pivotTable tabId="29" name="PivotTable1"/>
    <pivotTable tabId="31" name="PivotTable1"/>
  </pivotTables>
  <data>
    <tabular pivotCacheId="1578724120">
      <items count="25">
        <i x="18" s="1"/>
        <i x="0" s="1"/>
        <i x="11" s="1"/>
        <i x="12" s="1"/>
        <i x="4" s="1"/>
        <i x="7" s="1"/>
        <i x="6" s="1"/>
        <i x="8" s="1"/>
        <i x="5" s="1"/>
        <i x="13" s="1"/>
        <i x="9" s="1"/>
        <i x="3" s="1"/>
        <i x="2" s="1"/>
        <i x="1" s="1"/>
        <i x="19" s="1"/>
        <i x="20" s="1"/>
        <i x="10" s="1"/>
        <i x="24" s="1"/>
        <i x="23" s="1"/>
        <i x="15" s="1"/>
        <i x="22" s="1"/>
        <i x="14" s="1"/>
        <i x="21" s="1"/>
        <i x="16"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8ED20CB1-D3B1-4FF6-A21C-7D8F9DDEFF30}" cache="Slicer_Salesperson" caption="Salesperson" columnCount="4" showCaption="0" style="SlicerStyleDark6 2" rowHeight="241300"/>
  <slicer name="Product Name" xr10:uid="{BC1C1533-A081-48A8-ACC6-C045165E624B}" cache="Slicer_Product_Name" caption="Product Name" columnCount="4" showCaption="0" style="SlicerStyleLight3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www.excelcampus.com/pivot-tables/pivot-tables-wor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B19:C20"/>
  <sheetViews>
    <sheetView showGridLines="0" workbookViewId="0">
      <selection activeCell="J100" sqref="J100"/>
    </sheetView>
  </sheetViews>
  <sheetFormatPr defaultRowHeight="14.5" x14ac:dyDescent="0.35"/>
  <sheetData>
    <row r="19" spans="2:3" x14ac:dyDescent="0.35">
      <c r="B19" s="6" t="s">
        <v>153</v>
      </c>
      <c r="C19" t="s">
        <v>154</v>
      </c>
    </row>
    <row r="20" spans="2:3" x14ac:dyDescent="0.35">
      <c r="B20" s="6" t="s">
        <v>152</v>
      </c>
      <c r="C20" s="5" t="s">
        <v>155</v>
      </c>
    </row>
  </sheetData>
  <hyperlinks>
    <hyperlink ref="C20" r:id="rId1" xr:uid="{00000000-0004-0000-02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61FB6-D025-415A-A7B9-C746D2BAC75E}">
  <dimension ref="A2:A12"/>
  <sheetViews>
    <sheetView workbookViewId="0">
      <selection activeCell="A13" sqref="A13"/>
    </sheetView>
  </sheetViews>
  <sheetFormatPr defaultRowHeight="14.5" x14ac:dyDescent="0.35"/>
  <cols>
    <col min="1" max="1" width="66.453125" customWidth="1"/>
    <col min="3" max="3" width="9.1796875" customWidth="1"/>
  </cols>
  <sheetData>
    <row r="2" spans="1:1" ht="21" x14ac:dyDescent="0.5">
      <c r="A2" s="7" t="s">
        <v>161</v>
      </c>
    </row>
    <row r="3" spans="1:1" ht="68.25" customHeight="1" x14ac:dyDescent="0.35">
      <c r="A3" s="9" t="s">
        <v>162</v>
      </c>
    </row>
    <row r="4" spans="1:1" ht="21" x14ac:dyDescent="0.5">
      <c r="A4" s="8" t="s">
        <v>156</v>
      </c>
    </row>
    <row r="5" spans="1:1" ht="21" x14ac:dyDescent="0.5">
      <c r="A5" s="8" t="s">
        <v>157</v>
      </c>
    </row>
    <row r="6" spans="1:1" ht="21" x14ac:dyDescent="0.5">
      <c r="A6" s="8" t="s">
        <v>158</v>
      </c>
    </row>
    <row r="7" spans="1:1" ht="21" x14ac:dyDescent="0.5">
      <c r="A7" s="8" t="s">
        <v>159</v>
      </c>
    </row>
    <row r="8" spans="1:1" ht="21" x14ac:dyDescent="0.5">
      <c r="A8" s="8" t="s">
        <v>160</v>
      </c>
    </row>
    <row r="9" spans="1:1" ht="21" x14ac:dyDescent="0.5">
      <c r="A9" s="8" t="s">
        <v>164</v>
      </c>
    </row>
    <row r="10" spans="1:1" ht="21" x14ac:dyDescent="0.5">
      <c r="A10" s="8" t="s">
        <v>165</v>
      </c>
    </row>
    <row r="11" spans="1:1" ht="21" x14ac:dyDescent="0.5">
      <c r="A11" s="8" t="s">
        <v>166</v>
      </c>
    </row>
    <row r="12" spans="1:1" ht="21" x14ac:dyDescent="0.5">
      <c r="A12" s="8" t="s">
        <v>186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C9F2-3CE2-41B3-9651-40F3636B85BA}">
  <sheetPr>
    <tabColor theme="1" tint="0.249977111117893"/>
  </sheetPr>
  <dimension ref="A1:Z370"/>
  <sheetViews>
    <sheetView zoomScaleNormal="100" workbookViewId="0">
      <pane ySplit="1" topLeftCell="A2" activePane="bottomLeft" state="frozen"/>
      <selection pane="bottomLeft" activeCell="I6" sqref="I6"/>
    </sheetView>
  </sheetViews>
  <sheetFormatPr defaultRowHeight="14.5" x14ac:dyDescent="0.35"/>
  <cols>
    <col min="1" max="1" width="10.54296875" customWidth="1"/>
    <col min="2" max="2" width="10.7265625" bestFit="1" customWidth="1"/>
    <col min="3" max="3" width="14.1796875" bestFit="1" customWidth="1"/>
    <col min="4" max="4" width="15.453125" bestFit="1" customWidth="1"/>
    <col min="5" max="5" width="14.26953125" bestFit="1" customWidth="1"/>
    <col min="6" max="6" width="12.54296875" bestFit="1" customWidth="1"/>
    <col min="7" max="7" width="5.54296875" bestFit="1" customWidth="1"/>
    <col min="8" max="9" width="15.1796875" bestFit="1" customWidth="1"/>
    <col min="10" max="10" width="19.7265625" bestFit="1" customWidth="1"/>
    <col min="11" max="11" width="7.1796875" bestFit="1" customWidth="1"/>
    <col min="12" max="12" width="12.81640625" bestFit="1" customWidth="1"/>
    <col min="13" max="13" width="19.453125" bestFit="1" customWidth="1"/>
    <col min="14" max="14" width="21.54296875" bestFit="1" customWidth="1"/>
    <col min="15" max="15" width="14.26953125" bestFit="1" customWidth="1"/>
    <col min="16" max="16" width="12.54296875" bestFit="1" customWidth="1"/>
    <col min="17" max="17" width="9.81640625" bestFit="1" customWidth="1"/>
    <col min="18" max="19" width="19.54296875" bestFit="1" customWidth="1"/>
    <col min="20" max="20" width="13.7265625" bestFit="1" customWidth="1"/>
    <col min="21" max="21" width="21" bestFit="1" customWidth="1"/>
    <col min="22" max="22" width="25" bestFit="1" customWidth="1"/>
    <col min="23" max="23" width="9.7265625" bestFit="1" customWidth="1"/>
    <col min="24" max="24" width="8.7265625" bestFit="1" customWidth="1"/>
    <col min="25" max="25" width="19.54296875" customWidth="1"/>
    <col min="26" max="26" width="12.453125" bestFit="1" customWidth="1"/>
  </cols>
  <sheetData>
    <row r="1" spans="1:2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5">
      <c r="A2">
        <v>1001</v>
      </c>
      <c r="B2" s="2">
        <v>41666</v>
      </c>
      <c r="C2">
        <v>27</v>
      </c>
      <c r="D2" t="s">
        <v>26</v>
      </c>
      <c r="E2" t="s">
        <v>27</v>
      </c>
      <c r="F2" t="s">
        <v>28</v>
      </c>
      <c r="G2" t="s">
        <v>29</v>
      </c>
      <c r="H2">
        <v>99999</v>
      </c>
      <c r="I2" t="s">
        <v>30</v>
      </c>
      <c r="J2" t="s">
        <v>31</v>
      </c>
      <c r="K2" t="s">
        <v>32</v>
      </c>
      <c r="L2" s="2">
        <v>41668</v>
      </c>
      <c r="M2" t="s">
        <v>33</v>
      </c>
      <c r="N2" t="s">
        <v>34</v>
      </c>
      <c r="O2" t="s">
        <v>27</v>
      </c>
      <c r="P2" t="s">
        <v>28</v>
      </c>
      <c r="Q2" t="s">
        <v>29</v>
      </c>
      <c r="R2">
        <v>99999</v>
      </c>
      <c r="S2" t="s">
        <v>30</v>
      </c>
      <c r="T2" t="s">
        <v>35</v>
      </c>
      <c r="U2" t="s">
        <v>36</v>
      </c>
      <c r="V2" t="s">
        <v>37</v>
      </c>
      <c r="W2" s="3">
        <v>14</v>
      </c>
      <c r="X2">
        <v>49</v>
      </c>
      <c r="Y2" s="4">
        <v>686</v>
      </c>
      <c r="Z2" s="3">
        <v>66.542000000000002</v>
      </c>
    </row>
    <row r="3" spans="1:26" x14ac:dyDescent="0.35">
      <c r="A3">
        <v>1002</v>
      </c>
      <c r="B3" s="2">
        <v>41666</v>
      </c>
      <c r="C3">
        <v>27</v>
      </c>
      <c r="D3" t="s">
        <v>26</v>
      </c>
      <c r="E3" t="s">
        <v>27</v>
      </c>
      <c r="F3" t="s">
        <v>28</v>
      </c>
      <c r="G3" t="s">
        <v>29</v>
      </c>
      <c r="H3">
        <v>99999</v>
      </c>
      <c r="I3" t="s">
        <v>30</v>
      </c>
      <c r="J3" t="s">
        <v>31</v>
      </c>
      <c r="K3" t="s">
        <v>32</v>
      </c>
      <c r="L3" s="2">
        <v>41668</v>
      </c>
      <c r="M3" t="s">
        <v>33</v>
      </c>
      <c r="N3" t="s">
        <v>34</v>
      </c>
      <c r="O3" t="s">
        <v>27</v>
      </c>
      <c r="P3" t="s">
        <v>28</v>
      </c>
      <c r="Q3" t="s">
        <v>29</v>
      </c>
      <c r="R3">
        <v>99999</v>
      </c>
      <c r="S3" t="s">
        <v>30</v>
      </c>
      <c r="T3" t="s">
        <v>35</v>
      </c>
      <c r="U3" t="s">
        <v>38</v>
      </c>
      <c r="V3" t="s">
        <v>39</v>
      </c>
      <c r="W3" s="3">
        <v>3.5</v>
      </c>
      <c r="X3">
        <v>47</v>
      </c>
      <c r="Y3" s="4">
        <v>164.5</v>
      </c>
      <c r="Z3" s="3">
        <v>16.6145</v>
      </c>
    </row>
    <row r="4" spans="1:26" x14ac:dyDescent="0.35">
      <c r="A4">
        <v>1003</v>
      </c>
      <c r="B4" s="2">
        <v>41643</v>
      </c>
      <c r="C4">
        <v>4</v>
      </c>
      <c r="D4" t="s">
        <v>40</v>
      </c>
      <c r="E4" t="s">
        <v>41</v>
      </c>
      <c r="F4" t="s">
        <v>42</v>
      </c>
      <c r="G4" t="s">
        <v>43</v>
      </c>
      <c r="H4">
        <v>99999</v>
      </c>
      <c r="I4" t="s">
        <v>30</v>
      </c>
      <c r="J4" t="s">
        <v>44</v>
      </c>
      <c r="K4" t="s">
        <v>45</v>
      </c>
      <c r="L4" s="2">
        <v>41645</v>
      </c>
      <c r="M4" t="s">
        <v>46</v>
      </c>
      <c r="N4" t="s">
        <v>47</v>
      </c>
      <c r="O4" t="s">
        <v>41</v>
      </c>
      <c r="P4" t="s">
        <v>42</v>
      </c>
      <c r="Q4" t="s">
        <v>43</v>
      </c>
      <c r="R4">
        <v>99999</v>
      </c>
      <c r="S4" t="s">
        <v>30</v>
      </c>
      <c r="T4" t="s">
        <v>48</v>
      </c>
      <c r="U4" t="s">
        <v>49</v>
      </c>
      <c r="V4" t="s">
        <v>39</v>
      </c>
      <c r="W4" s="3">
        <v>30</v>
      </c>
      <c r="X4">
        <v>69</v>
      </c>
      <c r="Y4" s="4">
        <v>2070</v>
      </c>
      <c r="Z4" s="3">
        <v>198.72</v>
      </c>
    </row>
    <row r="5" spans="1:26" x14ac:dyDescent="0.35">
      <c r="A5">
        <v>1004</v>
      </c>
      <c r="B5" s="2">
        <v>41643</v>
      </c>
      <c r="C5">
        <v>4</v>
      </c>
      <c r="D5" t="s">
        <v>40</v>
      </c>
      <c r="E5" t="s">
        <v>41</v>
      </c>
      <c r="F5" t="s">
        <v>42</v>
      </c>
      <c r="G5" t="s">
        <v>43</v>
      </c>
      <c r="H5">
        <v>99999</v>
      </c>
      <c r="I5" t="s">
        <v>30</v>
      </c>
      <c r="J5" t="s">
        <v>44</v>
      </c>
      <c r="K5" t="s">
        <v>45</v>
      </c>
      <c r="L5" s="2">
        <v>41645</v>
      </c>
      <c r="M5" t="s">
        <v>46</v>
      </c>
      <c r="N5" t="s">
        <v>47</v>
      </c>
      <c r="O5" t="s">
        <v>41</v>
      </c>
      <c r="P5" t="s">
        <v>42</v>
      </c>
      <c r="Q5" t="s">
        <v>43</v>
      </c>
      <c r="R5">
        <v>99999</v>
      </c>
      <c r="S5" t="s">
        <v>30</v>
      </c>
      <c r="T5" t="s">
        <v>48</v>
      </c>
      <c r="U5" t="s">
        <v>50</v>
      </c>
      <c r="V5" t="s">
        <v>39</v>
      </c>
      <c r="W5" s="3">
        <v>53</v>
      </c>
      <c r="X5">
        <v>89</v>
      </c>
      <c r="Y5" s="4">
        <v>4717</v>
      </c>
      <c r="Z5" s="3">
        <v>448.11500000000001</v>
      </c>
    </row>
    <row r="6" spans="1:26" x14ac:dyDescent="0.35">
      <c r="A6">
        <v>1005</v>
      </c>
      <c r="B6" s="2">
        <v>41643</v>
      </c>
      <c r="C6">
        <v>4</v>
      </c>
      <c r="D6" t="s">
        <v>40</v>
      </c>
      <c r="E6" t="s">
        <v>41</v>
      </c>
      <c r="F6" t="s">
        <v>42</v>
      </c>
      <c r="G6" t="s">
        <v>43</v>
      </c>
      <c r="H6">
        <v>99999</v>
      </c>
      <c r="I6" t="s">
        <v>30</v>
      </c>
      <c r="J6" t="s">
        <v>44</v>
      </c>
      <c r="K6" t="s">
        <v>45</v>
      </c>
      <c r="L6" s="2">
        <v>41645</v>
      </c>
      <c r="M6" t="s">
        <v>46</v>
      </c>
      <c r="N6" t="s">
        <v>47</v>
      </c>
      <c r="O6" t="s">
        <v>41</v>
      </c>
      <c r="P6" t="s">
        <v>42</v>
      </c>
      <c r="Q6" t="s">
        <v>43</v>
      </c>
      <c r="R6">
        <v>99999</v>
      </c>
      <c r="S6" t="s">
        <v>30</v>
      </c>
      <c r="T6" t="s">
        <v>48</v>
      </c>
      <c r="U6" t="s">
        <v>38</v>
      </c>
      <c r="V6" t="s">
        <v>39</v>
      </c>
      <c r="W6" s="3">
        <v>3.5</v>
      </c>
      <c r="X6">
        <v>11</v>
      </c>
      <c r="Y6" s="4">
        <v>38.5</v>
      </c>
      <c r="Z6" s="3">
        <v>3.7345000000000002</v>
      </c>
    </row>
    <row r="7" spans="1:26" x14ac:dyDescent="0.35">
      <c r="A7">
        <v>1006</v>
      </c>
      <c r="B7" s="2">
        <v>41651</v>
      </c>
      <c r="C7">
        <v>12</v>
      </c>
      <c r="D7" t="s">
        <v>51</v>
      </c>
      <c r="E7" t="s">
        <v>52</v>
      </c>
      <c r="F7" t="s">
        <v>28</v>
      </c>
      <c r="G7" t="s">
        <v>29</v>
      </c>
      <c r="H7">
        <v>99999</v>
      </c>
      <c r="I7" t="s">
        <v>30</v>
      </c>
      <c r="J7" t="s">
        <v>31</v>
      </c>
      <c r="K7" t="s">
        <v>32</v>
      </c>
      <c r="L7" s="2">
        <v>41653</v>
      </c>
      <c r="M7" t="s">
        <v>33</v>
      </c>
      <c r="N7" t="s">
        <v>53</v>
      </c>
      <c r="O7" t="s">
        <v>52</v>
      </c>
      <c r="P7" t="s">
        <v>28</v>
      </c>
      <c r="Q7" t="s">
        <v>29</v>
      </c>
      <c r="R7">
        <v>99999</v>
      </c>
      <c r="S7" t="s">
        <v>30</v>
      </c>
      <c r="T7" t="s">
        <v>48</v>
      </c>
      <c r="U7" t="s">
        <v>54</v>
      </c>
      <c r="V7" t="s">
        <v>37</v>
      </c>
      <c r="W7" s="3">
        <v>18</v>
      </c>
      <c r="X7">
        <v>81</v>
      </c>
      <c r="Y7" s="4">
        <v>1458</v>
      </c>
      <c r="Z7" s="3">
        <v>141.42600000000002</v>
      </c>
    </row>
    <row r="8" spans="1:26" x14ac:dyDescent="0.35">
      <c r="A8">
        <v>1007</v>
      </c>
      <c r="B8" s="2">
        <v>41651</v>
      </c>
      <c r="C8">
        <v>12</v>
      </c>
      <c r="D8" t="s">
        <v>51</v>
      </c>
      <c r="E8" t="s">
        <v>52</v>
      </c>
      <c r="F8" t="s">
        <v>28</v>
      </c>
      <c r="G8" t="s">
        <v>29</v>
      </c>
      <c r="H8">
        <v>99999</v>
      </c>
      <c r="I8" t="s">
        <v>30</v>
      </c>
      <c r="J8" t="s">
        <v>31</v>
      </c>
      <c r="K8" t="s">
        <v>32</v>
      </c>
      <c r="L8" s="2">
        <v>41653</v>
      </c>
      <c r="M8" t="s">
        <v>33</v>
      </c>
      <c r="N8" t="s">
        <v>53</v>
      </c>
      <c r="O8" t="s">
        <v>52</v>
      </c>
      <c r="P8" t="s">
        <v>28</v>
      </c>
      <c r="Q8" t="s">
        <v>29</v>
      </c>
      <c r="R8">
        <v>99999</v>
      </c>
      <c r="S8" t="s">
        <v>30</v>
      </c>
      <c r="T8" t="s">
        <v>48</v>
      </c>
      <c r="U8" t="s">
        <v>55</v>
      </c>
      <c r="V8" t="s">
        <v>37</v>
      </c>
      <c r="W8" s="3">
        <v>46</v>
      </c>
      <c r="X8">
        <v>44</v>
      </c>
      <c r="Y8" s="4">
        <v>2024</v>
      </c>
      <c r="Z8" s="3">
        <v>198.352</v>
      </c>
    </row>
    <row r="9" spans="1:26" x14ac:dyDescent="0.35">
      <c r="A9">
        <v>1008</v>
      </c>
      <c r="B9" s="2">
        <v>41647</v>
      </c>
      <c r="C9">
        <v>8</v>
      </c>
      <c r="D9" t="s">
        <v>56</v>
      </c>
      <c r="E9" t="s">
        <v>57</v>
      </c>
      <c r="F9" t="s">
        <v>58</v>
      </c>
      <c r="G9" t="s">
        <v>59</v>
      </c>
      <c r="H9">
        <v>99999</v>
      </c>
      <c r="I9" t="s">
        <v>30</v>
      </c>
      <c r="J9" t="s">
        <v>60</v>
      </c>
      <c r="K9" t="s">
        <v>61</v>
      </c>
      <c r="L9" s="2">
        <v>41649</v>
      </c>
      <c r="M9" t="s">
        <v>62</v>
      </c>
      <c r="N9" t="s">
        <v>63</v>
      </c>
      <c r="O9" t="s">
        <v>57</v>
      </c>
      <c r="P9" t="s">
        <v>58</v>
      </c>
      <c r="Q9" t="s">
        <v>59</v>
      </c>
      <c r="R9">
        <v>99999</v>
      </c>
      <c r="S9" t="s">
        <v>30</v>
      </c>
      <c r="T9" t="s">
        <v>48</v>
      </c>
      <c r="U9" t="s">
        <v>64</v>
      </c>
      <c r="V9" t="s">
        <v>65</v>
      </c>
      <c r="W9" s="3">
        <v>9.1999999999999993</v>
      </c>
      <c r="X9">
        <v>38</v>
      </c>
      <c r="Y9" s="4">
        <v>349.59999999999997</v>
      </c>
      <c r="Z9" s="3">
        <v>36.008800000000001</v>
      </c>
    </row>
    <row r="10" spans="1:26" x14ac:dyDescent="0.35">
      <c r="A10">
        <v>1009</v>
      </c>
      <c r="B10" s="2">
        <v>41643</v>
      </c>
      <c r="C10">
        <v>4</v>
      </c>
      <c r="D10" t="s">
        <v>40</v>
      </c>
      <c r="E10" t="s">
        <v>41</v>
      </c>
      <c r="F10" t="s">
        <v>42</v>
      </c>
      <c r="G10" t="s">
        <v>43</v>
      </c>
      <c r="H10">
        <v>99999</v>
      </c>
      <c r="I10" t="s">
        <v>30</v>
      </c>
      <c r="J10" t="s">
        <v>44</v>
      </c>
      <c r="K10" t="s">
        <v>45</v>
      </c>
      <c r="L10" s="2">
        <v>41645</v>
      </c>
      <c r="M10" t="s">
        <v>62</v>
      </c>
      <c r="N10" t="s">
        <v>47</v>
      </c>
      <c r="O10" t="s">
        <v>41</v>
      </c>
      <c r="P10" t="s">
        <v>42</v>
      </c>
      <c r="Q10" t="s">
        <v>43</v>
      </c>
      <c r="R10">
        <v>99999</v>
      </c>
      <c r="S10" t="s">
        <v>30</v>
      </c>
      <c r="T10" t="s">
        <v>35</v>
      </c>
      <c r="U10" t="s">
        <v>64</v>
      </c>
      <c r="V10" t="s">
        <v>65</v>
      </c>
      <c r="W10" s="3">
        <v>9.1999999999999993</v>
      </c>
      <c r="X10">
        <v>88</v>
      </c>
      <c r="Y10" s="4">
        <v>809.59999999999991</v>
      </c>
      <c r="Z10" s="3">
        <v>79.340799999999987</v>
      </c>
    </row>
    <row r="11" spans="1:26" x14ac:dyDescent="0.35">
      <c r="A11">
        <v>1010</v>
      </c>
      <c r="B11" s="2">
        <v>41668</v>
      </c>
      <c r="C11">
        <v>29</v>
      </c>
      <c r="D11" t="s">
        <v>66</v>
      </c>
      <c r="E11" t="s">
        <v>67</v>
      </c>
      <c r="F11" t="s">
        <v>68</v>
      </c>
      <c r="G11" t="s">
        <v>69</v>
      </c>
      <c r="H11">
        <v>99999</v>
      </c>
      <c r="I11" t="s">
        <v>30</v>
      </c>
      <c r="J11" t="s">
        <v>70</v>
      </c>
      <c r="K11" t="s">
        <v>32</v>
      </c>
      <c r="L11" s="2">
        <v>41670</v>
      </c>
      <c r="M11" t="s">
        <v>33</v>
      </c>
      <c r="N11" t="s">
        <v>71</v>
      </c>
      <c r="O11" t="s">
        <v>67</v>
      </c>
      <c r="P11" t="s">
        <v>68</v>
      </c>
      <c r="Q11" t="s">
        <v>69</v>
      </c>
      <c r="R11">
        <v>99999</v>
      </c>
      <c r="S11" t="s">
        <v>30</v>
      </c>
      <c r="T11" t="s">
        <v>35</v>
      </c>
      <c r="U11" t="s">
        <v>72</v>
      </c>
      <c r="V11" t="s">
        <v>73</v>
      </c>
      <c r="W11" s="3">
        <v>12.75</v>
      </c>
      <c r="X11">
        <v>94</v>
      </c>
      <c r="Y11" s="4">
        <v>1198.5</v>
      </c>
      <c r="Z11" s="3">
        <v>122.24700000000001</v>
      </c>
    </row>
    <row r="12" spans="1:26" x14ac:dyDescent="0.35">
      <c r="A12">
        <v>1011</v>
      </c>
      <c r="B12" s="2">
        <v>41642</v>
      </c>
      <c r="C12">
        <v>3</v>
      </c>
      <c r="D12" t="s">
        <v>74</v>
      </c>
      <c r="E12" t="s">
        <v>75</v>
      </c>
      <c r="F12" t="s">
        <v>76</v>
      </c>
      <c r="G12" t="s">
        <v>77</v>
      </c>
      <c r="H12">
        <v>99999</v>
      </c>
      <c r="I12" t="s">
        <v>30</v>
      </c>
      <c r="J12" t="s">
        <v>31</v>
      </c>
      <c r="K12" t="s">
        <v>32</v>
      </c>
      <c r="L12" s="2">
        <v>41644</v>
      </c>
      <c r="M12" t="s">
        <v>33</v>
      </c>
      <c r="N12" t="s">
        <v>78</v>
      </c>
      <c r="O12" t="s">
        <v>75</v>
      </c>
      <c r="P12" t="s">
        <v>76</v>
      </c>
      <c r="Q12" t="s">
        <v>77</v>
      </c>
      <c r="R12">
        <v>99999</v>
      </c>
      <c r="S12" t="s">
        <v>30</v>
      </c>
      <c r="T12" t="s">
        <v>79</v>
      </c>
      <c r="U12" t="s">
        <v>80</v>
      </c>
      <c r="V12" t="s">
        <v>81</v>
      </c>
      <c r="W12" s="3">
        <v>9.65</v>
      </c>
      <c r="X12">
        <v>91</v>
      </c>
      <c r="Y12" s="4">
        <v>878.15</v>
      </c>
      <c r="Z12" s="3">
        <v>92.205749999999995</v>
      </c>
    </row>
    <row r="13" spans="1:26" x14ac:dyDescent="0.35">
      <c r="A13">
        <v>1012</v>
      </c>
      <c r="B13" s="2">
        <v>41645</v>
      </c>
      <c r="C13">
        <v>6</v>
      </c>
      <c r="D13" t="s">
        <v>82</v>
      </c>
      <c r="E13" t="s">
        <v>83</v>
      </c>
      <c r="F13" t="s">
        <v>84</v>
      </c>
      <c r="G13" t="s">
        <v>85</v>
      </c>
      <c r="H13">
        <v>99999</v>
      </c>
      <c r="I13" t="s">
        <v>30</v>
      </c>
      <c r="J13" t="s">
        <v>86</v>
      </c>
      <c r="K13" t="s">
        <v>61</v>
      </c>
      <c r="L13" s="2">
        <v>41647</v>
      </c>
      <c r="M13" t="s">
        <v>33</v>
      </c>
      <c r="N13" t="s">
        <v>87</v>
      </c>
      <c r="O13" t="s">
        <v>83</v>
      </c>
      <c r="P13" t="s">
        <v>84</v>
      </c>
      <c r="Q13" t="s">
        <v>85</v>
      </c>
      <c r="R13">
        <v>99999</v>
      </c>
      <c r="S13" t="s">
        <v>30</v>
      </c>
      <c r="T13" t="s">
        <v>48</v>
      </c>
      <c r="U13" t="s">
        <v>88</v>
      </c>
      <c r="V13" t="s">
        <v>89</v>
      </c>
      <c r="W13" s="3">
        <v>40</v>
      </c>
      <c r="X13">
        <v>32</v>
      </c>
      <c r="Y13" s="4">
        <v>1280</v>
      </c>
      <c r="Z13" s="3">
        <v>133.12</v>
      </c>
    </row>
    <row r="14" spans="1:26" x14ac:dyDescent="0.35">
      <c r="A14">
        <v>1013</v>
      </c>
      <c r="B14" s="2">
        <v>41667</v>
      </c>
      <c r="C14">
        <v>28</v>
      </c>
      <c r="D14" t="s">
        <v>90</v>
      </c>
      <c r="E14" t="s">
        <v>91</v>
      </c>
      <c r="F14" t="s">
        <v>92</v>
      </c>
      <c r="G14" t="s">
        <v>93</v>
      </c>
      <c r="H14">
        <v>99999</v>
      </c>
      <c r="I14" t="s">
        <v>30</v>
      </c>
      <c r="J14" t="s">
        <v>94</v>
      </c>
      <c r="K14" t="s">
        <v>95</v>
      </c>
      <c r="L14" s="2">
        <v>41669</v>
      </c>
      <c r="M14" t="s">
        <v>62</v>
      </c>
      <c r="N14" t="s">
        <v>96</v>
      </c>
      <c r="O14" t="s">
        <v>91</v>
      </c>
      <c r="P14" t="s">
        <v>92</v>
      </c>
      <c r="Q14" t="s">
        <v>93</v>
      </c>
      <c r="R14">
        <v>99999</v>
      </c>
      <c r="S14" t="s">
        <v>30</v>
      </c>
      <c r="T14" t="s">
        <v>35</v>
      </c>
      <c r="U14" t="s">
        <v>55</v>
      </c>
      <c r="V14" t="s">
        <v>37</v>
      </c>
      <c r="W14" s="3">
        <v>46</v>
      </c>
      <c r="X14">
        <v>55</v>
      </c>
      <c r="Y14" s="4">
        <v>2530</v>
      </c>
      <c r="Z14" s="3">
        <v>253</v>
      </c>
    </row>
    <row r="15" spans="1:26" x14ac:dyDescent="0.35">
      <c r="A15">
        <v>1014</v>
      </c>
      <c r="B15" s="2">
        <v>41647</v>
      </c>
      <c r="C15">
        <v>8</v>
      </c>
      <c r="D15" t="s">
        <v>56</v>
      </c>
      <c r="E15" t="s">
        <v>57</v>
      </c>
      <c r="F15" t="s">
        <v>58</v>
      </c>
      <c r="G15" t="s">
        <v>59</v>
      </c>
      <c r="H15">
        <v>99999</v>
      </c>
      <c r="I15" t="s">
        <v>30</v>
      </c>
      <c r="J15" t="s">
        <v>60</v>
      </c>
      <c r="K15" t="s">
        <v>61</v>
      </c>
      <c r="L15" s="2">
        <v>41649</v>
      </c>
      <c r="M15" t="s">
        <v>62</v>
      </c>
      <c r="N15" t="s">
        <v>63</v>
      </c>
      <c r="O15" t="s">
        <v>57</v>
      </c>
      <c r="P15" t="s">
        <v>58</v>
      </c>
      <c r="Q15" t="s">
        <v>59</v>
      </c>
      <c r="R15">
        <v>99999</v>
      </c>
      <c r="S15" t="s">
        <v>30</v>
      </c>
      <c r="T15" t="s">
        <v>35</v>
      </c>
      <c r="U15" t="s">
        <v>72</v>
      </c>
      <c r="V15" t="s">
        <v>73</v>
      </c>
      <c r="W15" s="3">
        <v>12.75</v>
      </c>
      <c r="X15">
        <v>47</v>
      </c>
      <c r="Y15" s="4">
        <v>599.25</v>
      </c>
      <c r="Z15" s="3">
        <v>61.722750000000005</v>
      </c>
    </row>
    <row r="16" spans="1:26" x14ac:dyDescent="0.35">
      <c r="A16">
        <v>1015</v>
      </c>
      <c r="B16" s="2">
        <v>41649</v>
      </c>
      <c r="C16">
        <v>10</v>
      </c>
      <c r="D16" t="s">
        <v>97</v>
      </c>
      <c r="E16" t="s">
        <v>98</v>
      </c>
      <c r="F16" t="s">
        <v>99</v>
      </c>
      <c r="G16" t="s">
        <v>100</v>
      </c>
      <c r="H16">
        <v>99999</v>
      </c>
      <c r="I16" t="s">
        <v>30</v>
      </c>
      <c r="J16" t="s">
        <v>101</v>
      </c>
      <c r="K16" t="s">
        <v>45</v>
      </c>
      <c r="L16" s="2">
        <v>41651</v>
      </c>
      <c r="M16" t="s">
        <v>33</v>
      </c>
      <c r="N16" t="s">
        <v>102</v>
      </c>
      <c r="O16" t="s">
        <v>98</v>
      </c>
      <c r="P16" t="s">
        <v>99</v>
      </c>
      <c r="Q16" t="s">
        <v>100</v>
      </c>
      <c r="R16">
        <v>99999</v>
      </c>
      <c r="S16" t="s">
        <v>30</v>
      </c>
      <c r="T16" t="s">
        <v>48</v>
      </c>
      <c r="U16" t="s">
        <v>103</v>
      </c>
      <c r="V16" t="s">
        <v>37</v>
      </c>
      <c r="W16" s="3">
        <v>2.99</v>
      </c>
      <c r="X16">
        <v>90</v>
      </c>
      <c r="Y16" s="4">
        <v>269.10000000000002</v>
      </c>
      <c r="Z16" s="3">
        <v>27.717300000000005</v>
      </c>
    </row>
    <row r="17" spans="1:26" x14ac:dyDescent="0.35">
      <c r="A17">
        <v>1016</v>
      </c>
      <c r="B17" s="2">
        <v>41646</v>
      </c>
      <c r="C17">
        <v>7</v>
      </c>
      <c r="D17" t="s">
        <v>104</v>
      </c>
      <c r="E17" t="s">
        <v>105</v>
      </c>
      <c r="F17" t="s">
        <v>106</v>
      </c>
      <c r="G17" t="s">
        <v>107</v>
      </c>
      <c r="H17">
        <v>99999</v>
      </c>
      <c r="I17" t="s">
        <v>30</v>
      </c>
      <c r="J17" t="s">
        <v>60</v>
      </c>
      <c r="K17" t="s">
        <v>61</v>
      </c>
      <c r="N17" t="s">
        <v>108</v>
      </c>
      <c r="O17" t="s">
        <v>105</v>
      </c>
      <c r="P17" t="s">
        <v>106</v>
      </c>
      <c r="Q17" t="s">
        <v>107</v>
      </c>
      <c r="R17">
        <v>99999</v>
      </c>
      <c r="S17" t="s">
        <v>30</v>
      </c>
      <c r="U17" t="s">
        <v>55</v>
      </c>
      <c r="V17" t="s">
        <v>37</v>
      </c>
      <c r="W17" s="3">
        <v>46</v>
      </c>
      <c r="X17">
        <v>24</v>
      </c>
      <c r="Y17" s="4">
        <v>1104</v>
      </c>
      <c r="Z17" s="3">
        <v>110.4</v>
      </c>
    </row>
    <row r="18" spans="1:26" x14ac:dyDescent="0.35">
      <c r="A18">
        <v>1017</v>
      </c>
      <c r="B18" s="2">
        <v>41649</v>
      </c>
      <c r="C18">
        <v>10</v>
      </c>
      <c r="D18" t="s">
        <v>97</v>
      </c>
      <c r="E18" t="s">
        <v>98</v>
      </c>
      <c r="F18" t="s">
        <v>99</v>
      </c>
      <c r="G18" t="s">
        <v>100</v>
      </c>
      <c r="H18">
        <v>99999</v>
      </c>
      <c r="I18" t="s">
        <v>30</v>
      </c>
      <c r="J18" t="s">
        <v>101</v>
      </c>
      <c r="K18" t="s">
        <v>45</v>
      </c>
      <c r="L18" s="2">
        <v>41651</v>
      </c>
      <c r="M18" t="s">
        <v>46</v>
      </c>
      <c r="N18" t="s">
        <v>102</v>
      </c>
      <c r="O18" t="s">
        <v>98</v>
      </c>
      <c r="P18" t="s">
        <v>99</v>
      </c>
      <c r="Q18" t="s">
        <v>100</v>
      </c>
      <c r="R18">
        <v>99999</v>
      </c>
      <c r="S18" t="s">
        <v>30</v>
      </c>
      <c r="U18" t="s">
        <v>109</v>
      </c>
      <c r="V18" t="s">
        <v>110</v>
      </c>
      <c r="W18" s="3">
        <v>25</v>
      </c>
      <c r="X18">
        <v>34</v>
      </c>
      <c r="Y18" s="4">
        <v>850</v>
      </c>
      <c r="Z18" s="3">
        <v>80.75</v>
      </c>
    </row>
    <row r="19" spans="1:26" x14ac:dyDescent="0.35">
      <c r="A19">
        <v>1018</v>
      </c>
      <c r="B19" s="2">
        <v>41649</v>
      </c>
      <c r="C19">
        <v>10</v>
      </c>
      <c r="D19" t="s">
        <v>97</v>
      </c>
      <c r="E19" t="s">
        <v>98</v>
      </c>
      <c r="F19" t="s">
        <v>99</v>
      </c>
      <c r="G19" t="s">
        <v>100</v>
      </c>
      <c r="H19">
        <v>99999</v>
      </c>
      <c r="I19" t="s">
        <v>30</v>
      </c>
      <c r="J19" t="s">
        <v>101</v>
      </c>
      <c r="K19" t="s">
        <v>45</v>
      </c>
      <c r="L19" s="2">
        <v>41651</v>
      </c>
      <c r="M19" t="s">
        <v>46</v>
      </c>
      <c r="N19" t="s">
        <v>102</v>
      </c>
      <c r="O19" t="s">
        <v>98</v>
      </c>
      <c r="P19" t="s">
        <v>99</v>
      </c>
      <c r="Q19" t="s">
        <v>100</v>
      </c>
      <c r="R19">
        <v>99999</v>
      </c>
      <c r="S19" t="s">
        <v>30</v>
      </c>
      <c r="U19" t="s">
        <v>111</v>
      </c>
      <c r="V19" t="s">
        <v>112</v>
      </c>
      <c r="W19" s="3">
        <v>22</v>
      </c>
      <c r="X19">
        <v>17</v>
      </c>
      <c r="Y19" s="4">
        <v>374</v>
      </c>
      <c r="Z19" s="3">
        <v>35.903999999999996</v>
      </c>
    </row>
    <row r="20" spans="1:26" x14ac:dyDescent="0.35">
      <c r="A20">
        <v>1019</v>
      </c>
      <c r="B20" s="2">
        <v>41649</v>
      </c>
      <c r="C20">
        <v>10</v>
      </c>
      <c r="D20" t="s">
        <v>97</v>
      </c>
      <c r="E20" t="s">
        <v>98</v>
      </c>
      <c r="F20" t="s">
        <v>99</v>
      </c>
      <c r="G20" t="s">
        <v>100</v>
      </c>
      <c r="H20">
        <v>99999</v>
      </c>
      <c r="I20" t="s">
        <v>30</v>
      </c>
      <c r="J20" t="s">
        <v>101</v>
      </c>
      <c r="K20" t="s">
        <v>45</v>
      </c>
      <c r="L20" s="2">
        <v>41651</v>
      </c>
      <c r="M20" t="s">
        <v>46</v>
      </c>
      <c r="N20" t="s">
        <v>102</v>
      </c>
      <c r="O20" t="s">
        <v>98</v>
      </c>
      <c r="P20" t="s">
        <v>99</v>
      </c>
      <c r="Q20" t="s">
        <v>100</v>
      </c>
      <c r="R20">
        <v>99999</v>
      </c>
      <c r="S20" t="s">
        <v>30</v>
      </c>
      <c r="U20" t="s">
        <v>64</v>
      </c>
      <c r="V20" t="s">
        <v>65</v>
      </c>
      <c r="W20" s="3">
        <v>9.1999999999999993</v>
      </c>
      <c r="X20">
        <v>44</v>
      </c>
      <c r="Y20" s="4">
        <v>404.79999999999995</v>
      </c>
      <c r="Z20" s="3">
        <v>42.099199999999996</v>
      </c>
    </row>
    <row r="21" spans="1:26" x14ac:dyDescent="0.35">
      <c r="A21">
        <v>1020</v>
      </c>
      <c r="B21" s="2">
        <v>41650</v>
      </c>
      <c r="C21">
        <v>11</v>
      </c>
      <c r="D21" t="s">
        <v>113</v>
      </c>
      <c r="E21" t="s">
        <v>114</v>
      </c>
      <c r="F21" t="s">
        <v>115</v>
      </c>
      <c r="G21" t="s">
        <v>116</v>
      </c>
      <c r="H21">
        <v>99999</v>
      </c>
      <c r="I21" t="s">
        <v>30</v>
      </c>
      <c r="J21" t="s">
        <v>94</v>
      </c>
      <c r="K21" t="s">
        <v>95</v>
      </c>
      <c r="M21" t="s">
        <v>62</v>
      </c>
      <c r="N21" t="s">
        <v>117</v>
      </c>
      <c r="O21" t="s">
        <v>114</v>
      </c>
      <c r="P21" t="s">
        <v>115</v>
      </c>
      <c r="Q21" t="s">
        <v>116</v>
      </c>
      <c r="R21">
        <v>99999</v>
      </c>
      <c r="S21" t="s">
        <v>30</v>
      </c>
      <c r="U21" t="s">
        <v>38</v>
      </c>
      <c r="V21" t="s">
        <v>39</v>
      </c>
      <c r="W21" s="3">
        <v>3.5</v>
      </c>
      <c r="X21">
        <v>81</v>
      </c>
      <c r="Y21" s="4">
        <v>283.5</v>
      </c>
      <c r="Z21" s="3">
        <v>27.499500000000001</v>
      </c>
    </row>
    <row r="22" spans="1:26" x14ac:dyDescent="0.35">
      <c r="A22">
        <v>1021</v>
      </c>
      <c r="B22" s="2">
        <v>41650</v>
      </c>
      <c r="C22">
        <v>11</v>
      </c>
      <c r="D22" t="s">
        <v>113</v>
      </c>
      <c r="E22" t="s">
        <v>114</v>
      </c>
      <c r="F22" t="s">
        <v>115</v>
      </c>
      <c r="G22" t="s">
        <v>116</v>
      </c>
      <c r="H22">
        <v>99999</v>
      </c>
      <c r="I22" t="s">
        <v>30</v>
      </c>
      <c r="J22" t="s">
        <v>94</v>
      </c>
      <c r="K22" t="s">
        <v>95</v>
      </c>
      <c r="M22" t="s">
        <v>62</v>
      </c>
      <c r="N22" t="s">
        <v>117</v>
      </c>
      <c r="O22" t="s">
        <v>114</v>
      </c>
      <c r="P22" t="s">
        <v>115</v>
      </c>
      <c r="Q22" t="s">
        <v>116</v>
      </c>
      <c r="R22">
        <v>99999</v>
      </c>
      <c r="S22" t="s">
        <v>30</v>
      </c>
      <c r="U22" t="s">
        <v>103</v>
      </c>
      <c r="V22" t="s">
        <v>37</v>
      </c>
      <c r="W22" s="3">
        <v>2.99</v>
      </c>
      <c r="X22">
        <v>49</v>
      </c>
      <c r="Y22" s="4">
        <v>146.51000000000002</v>
      </c>
      <c r="Z22" s="3">
        <v>15.090530000000005</v>
      </c>
    </row>
    <row r="23" spans="1:26" x14ac:dyDescent="0.35">
      <c r="A23">
        <v>1022</v>
      </c>
      <c r="B23" s="2">
        <v>41640</v>
      </c>
      <c r="C23">
        <v>1</v>
      </c>
      <c r="D23" t="s">
        <v>118</v>
      </c>
      <c r="E23" t="s">
        <v>119</v>
      </c>
      <c r="F23" t="s">
        <v>120</v>
      </c>
      <c r="G23" t="s">
        <v>121</v>
      </c>
      <c r="H23">
        <v>99999</v>
      </c>
      <c r="I23" t="s">
        <v>30</v>
      </c>
      <c r="J23" t="s">
        <v>60</v>
      </c>
      <c r="K23" t="s">
        <v>61</v>
      </c>
      <c r="N23" t="s">
        <v>122</v>
      </c>
      <c r="O23" t="s">
        <v>119</v>
      </c>
      <c r="P23" t="s">
        <v>120</v>
      </c>
      <c r="Q23" t="s">
        <v>121</v>
      </c>
      <c r="R23">
        <v>99999</v>
      </c>
      <c r="S23" t="s">
        <v>30</v>
      </c>
      <c r="U23" t="s">
        <v>54</v>
      </c>
      <c r="V23" t="s">
        <v>37</v>
      </c>
      <c r="W23" s="3">
        <v>18</v>
      </c>
      <c r="X23">
        <v>42</v>
      </c>
      <c r="Y23" s="4">
        <v>756</v>
      </c>
      <c r="Z23" s="3">
        <v>75.600000000000009</v>
      </c>
    </row>
    <row r="24" spans="1:26" x14ac:dyDescent="0.35">
      <c r="A24">
        <v>1023</v>
      </c>
      <c r="B24" s="2">
        <v>41640</v>
      </c>
      <c r="C24">
        <v>1</v>
      </c>
      <c r="D24" t="s">
        <v>118</v>
      </c>
      <c r="E24" t="s">
        <v>119</v>
      </c>
      <c r="F24" t="s">
        <v>120</v>
      </c>
      <c r="G24" t="s">
        <v>121</v>
      </c>
      <c r="H24">
        <v>99999</v>
      </c>
      <c r="I24" t="s">
        <v>30</v>
      </c>
      <c r="J24" t="s">
        <v>60</v>
      </c>
      <c r="K24" t="s">
        <v>61</v>
      </c>
      <c r="N24" t="s">
        <v>122</v>
      </c>
      <c r="O24" t="s">
        <v>119</v>
      </c>
      <c r="P24" t="s">
        <v>120</v>
      </c>
      <c r="Q24" t="s">
        <v>121</v>
      </c>
      <c r="R24">
        <v>99999</v>
      </c>
      <c r="S24" t="s">
        <v>30</v>
      </c>
      <c r="U24" t="s">
        <v>55</v>
      </c>
      <c r="V24" t="s">
        <v>37</v>
      </c>
      <c r="W24" s="3">
        <v>46</v>
      </c>
      <c r="X24">
        <v>58</v>
      </c>
      <c r="Y24" s="4">
        <v>2668</v>
      </c>
      <c r="Z24" s="3">
        <v>269.46800000000002</v>
      </c>
    </row>
    <row r="25" spans="1:26" x14ac:dyDescent="0.35">
      <c r="A25">
        <v>1024</v>
      </c>
      <c r="B25" s="2">
        <v>41640</v>
      </c>
      <c r="C25">
        <v>1</v>
      </c>
      <c r="D25" t="s">
        <v>118</v>
      </c>
      <c r="E25" t="s">
        <v>119</v>
      </c>
      <c r="F25" t="s">
        <v>120</v>
      </c>
      <c r="G25" t="s">
        <v>121</v>
      </c>
      <c r="H25">
        <v>99999</v>
      </c>
      <c r="I25" t="s">
        <v>30</v>
      </c>
      <c r="J25" t="s">
        <v>60</v>
      </c>
      <c r="K25" t="s">
        <v>61</v>
      </c>
      <c r="N25" t="s">
        <v>122</v>
      </c>
      <c r="O25" t="s">
        <v>119</v>
      </c>
      <c r="P25" t="s">
        <v>120</v>
      </c>
      <c r="Q25" t="s">
        <v>121</v>
      </c>
      <c r="R25">
        <v>99999</v>
      </c>
      <c r="S25" t="s">
        <v>30</v>
      </c>
      <c r="U25" t="s">
        <v>103</v>
      </c>
      <c r="V25" t="s">
        <v>37</v>
      </c>
      <c r="W25" s="3">
        <v>2.99</v>
      </c>
      <c r="X25">
        <v>67</v>
      </c>
      <c r="Y25" s="4">
        <v>200.33</v>
      </c>
      <c r="Z25" s="3">
        <v>20.033000000000001</v>
      </c>
    </row>
    <row r="26" spans="1:26" x14ac:dyDescent="0.35">
      <c r="A26">
        <v>1025</v>
      </c>
      <c r="B26" s="2">
        <v>41667</v>
      </c>
      <c r="C26">
        <v>28</v>
      </c>
      <c r="D26" t="s">
        <v>90</v>
      </c>
      <c r="E26" t="s">
        <v>91</v>
      </c>
      <c r="F26" t="s">
        <v>92</v>
      </c>
      <c r="G26" t="s">
        <v>93</v>
      </c>
      <c r="H26">
        <v>99999</v>
      </c>
      <c r="I26" t="s">
        <v>30</v>
      </c>
      <c r="J26" t="s">
        <v>94</v>
      </c>
      <c r="K26" t="s">
        <v>95</v>
      </c>
      <c r="L26" s="2">
        <v>41669</v>
      </c>
      <c r="M26" t="s">
        <v>62</v>
      </c>
      <c r="N26" t="s">
        <v>96</v>
      </c>
      <c r="O26" t="s">
        <v>91</v>
      </c>
      <c r="P26" t="s">
        <v>92</v>
      </c>
      <c r="Q26" t="s">
        <v>93</v>
      </c>
      <c r="R26">
        <v>99999</v>
      </c>
      <c r="S26" t="s">
        <v>30</v>
      </c>
      <c r="T26" t="s">
        <v>48</v>
      </c>
      <c r="U26" t="s">
        <v>80</v>
      </c>
      <c r="V26" t="s">
        <v>81</v>
      </c>
      <c r="W26" s="3">
        <v>9.65</v>
      </c>
      <c r="X26">
        <v>100</v>
      </c>
      <c r="Y26" s="4">
        <v>965</v>
      </c>
      <c r="Z26" s="3">
        <v>93.605000000000004</v>
      </c>
    </row>
    <row r="27" spans="1:26" x14ac:dyDescent="0.35">
      <c r="A27">
        <v>1026</v>
      </c>
      <c r="B27" s="2">
        <v>41667</v>
      </c>
      <c r="C27">
        <v>28</v>
      </c>
      <c r="D27" t="s">
        <v>90</v>
      </c>
      <c r="E27" t="s">
        <v>91</v>
      </c>
      <c r="F27" t="s">
        <v>92</v>
      </c>
      <c r="G27" t="s">
        <v>93</v>
      </c>
      <c r="H27">
        <v>99999</v>
      </c>
      <c r="I27" t="s">
        <v>30</v>
      </c>
      <c r="J27" t="s">
        <v>94</v>
      </c>
      <c r="K27" t="s">
        <v>95</v>
      </c>
      <c r="L27" s="2">
        <v>41669</v>
      </c>
      <c r="M27" t="s">
        <v>62</v>
      </c>
      <c r="N27" t="s">
        <v>96</v>
      </c>
      <c r="O27" t="s">
        <v>91</v>
      </c>
      <c r="P27" t="s">
        <v>92</v>
      </c>
      <c r="Q27" t="s">
        <v>93</v>
      </c>
      <c r="R27">
        <v>99999</v>
      </c>
      <c r="S27" t="s">
        <v>30</v>
      </c>
      <c r="T27" t="s">
        <v>48</v>
      </c>
      <c r="U27" t="s">
        <v>123</v>
      </c>
      <c r="V27" t="s">
        <v>124</v>
      </c>
      <c r="W27" s="3">
        <v>18.399999999999999</v>
      </c>
      <c r="X27">
        <v>63</v>
      </c>
      <c r="Y27" s="4">
        <v>1159.1999999999998</v>
      </c>
      <c r="Z27" s="3">
        <v>114.76079999999999</v>
      </c>
    </row>
    <row r="28" spans="1:26" x14ac:dyDescent="0.35">
      <c r="A28">
        <v>1027</v>
      </c>
      <c r="B28" s="2">
        <v>41648</v>
      </c>
      <c r="C28">
        <v>9</v>
      </c>
      <c r="D28" t="s">
        <v>125</v>
      </c>
      <c r="E28" t="s">
        <v>126</v>
      </c>
      <c r="F28" t="s">
        <v>127</v>
      </c>
      <c r="G28" t="s">
        <v>128</v>
      </c>
      <c r="H28">
        <v>99999</v>
      </c>
      <c r="I28" t="s">
        <v>30</v>
      </c>
      <c r="J28" t="s">
        <v>129</v>
      </c>
      <c r="K28" t="s">
        <v>32</v>
      </c>
      <c r="L28" s="2">
        <v>41650</v>
      </c>
      <c r="M28" t="s">
        <v>46</v>
      </c>
      <c r="N28" t="s">
        <v>130</v>
      </c>
      <c r="O28" t="s">
        <v>126</v>
      </c>
      <c r="P28" t="s">
        <v>127</v>
      </c>
      <c r="Q28" t="s">
        <v>128</v>
      </c>
      <c r="R28">
        <v>99999</v>
      </c>
      <c r="S28" t="s">
        <v>30</v>
      </c>
      <c r="T28" t="s">
        <v>35</v>
      </c>
      <c r="U28" t="s">
        <v>131</v>
      </c>
      <c r="V28" t="s">
        <v>132</v>
      </c>
      <c r="W28" s="3">
        <v>19.5</v>
      </c>
      <c r="X28">
        <v>57</v>
      </c>
      <c r="Y28" s="4">
        <v>1111.5</v>
      </c>
      <c r="Z28" s="3">
        <v>110.0385</v>
      </c>
    </row>
    <row r="29" spans="1:26" x14ac:dyDescent="0.35">
      <c r="A29">
        <v>1028</v>
      </c>
      <c r="B29" s="2">
        <v>41648</v>
      </c>
      <c r="C29">
        <v>9</v>
      </c>
      <c r="D29" t="s">
        <v>125</v>
      </c>
      <c r="E29" t="s">
        <v>126</v>
      </c>
      <c r="F29" t="s">
        <v>127</v>
      </c>
      <c r="G29" t="s">
        <v>128</v>
      </c>
      <c r="H29">
        <v>99999</v>
      </c>
      <c r="I29" t="s">
        <v>30</v>
      </c>
      <c r="J29" t="s">
        <v>129</v>
      </c>
      <c r="K29" t="s">
        <v>32</v>
      </c>
      <c r="L29" s="2">
        <v>41650</v>
      </c>
      <c r="M29" t="s">
        <v>46</v>
      </c>
      <c r="N29" t="s">
        <v>130</v>
      </c>
      <c r="O29" t="s">
        <v>126</v>
      </c>
      <c r="P29" t="s">
        <v>127</v>
      </c>
      <c r="Q29" t="s">
        <v>128</v>
      </c>
      <c r="R29">
        <v>99999</v>
      </c>
      <c r="S29" t="s">
        <v>30</v>
      </c>
      <c r="T29" t="s">
        <v>35</v>
      </c>
      <c r="U29" t="s">
        <v>133</v>
      </c>
      <c r="V29" t="s">
        <v>134</v>
      </c>
      <c r="W29" s="3">
        <v>34.799999999999997</v>
      </c>
      <c r="X29">
        <v>81</v>
      </c>
      <c r="Y29" s="4">
        <v>2818.7999999999997</v>
      </c>
      <c r="Z29" s="3">
        <v>295.97399999999999</v>
      </c>
    </row>
    <row r="30" spans="1:26" x14ac:dyDescent="0.35">
      <c r="A30">
        <v>1029</v>
      </c>
      <c r="B30" s="2">
        <v>41645</v>
      </c>
      <c r="C30">
        <v>6</v>
      </c>
      <c r="D30" t="s">
        <v>82</v>
      </c>
      <c r="E30" t="s">
        <v>83</v>
      </c>
      <c r="F30" t="s">
        <v>84</v>
      </c>
      <c r="G30" t="s">
        <v>85</v>
      </c>
      <c r="H30">
        <v>99999</v>
      </c>
      <c r="I30" t="s">
        <v>30</v>
      </c>
      <c r="J30" t="s">
        <v>86</v>
      </c>
      <c r="K30" t="s">
        <v>61</v>
      </c>
      <c r="L30" s="2">
        <v>41647</v>
      </c>
      <c r="M30" t="s">
        <v>33</v>
      </c>
      <c r="N30" t="s">
        <v>87</v>
      </c>
      <c r="O30" t="s">
        <v>83</v>
      </c>
      <c r="P30" t="s">
        <v>84</v>
      </c>
      <c r="Q30" t="s">
        <v>85</v>
      </c>
      <c r="R30">
        <v>99999</v>
      </c>
      <c r="S30" t="s">
        <v>30</v>
      </c>
      <c r="T30" t="s">
        <v>48</v>
      </c>
      <c r="U30" t="s">
        <v>36</v>
      </c>
      <c r="V30" t="s">
        <v>37</v>
      </c>
      <c r="W30" s="3">
        <v>14</v>
      </c>
      <c r="X30">
        <v>71</v>
      </c>
      <c r="Y30" s="4">
        <v>994</v>
      </c>
      <c r="Z30" s="3">
        <v>95.424000000000007</v>
      </c>
    </row>
    <row r="31" spans="1:26" x14ac:dyDescent="0.35">
      <c r="A31">
        <v>1030</v>
      </c>
      <c r="B31" s="2">
        <v>41678</v>
      </c>
      <c r="C31">
        <v>8</v>
      </c>
      <c r="D31" t="s">
        <v>56</v>
      </c>
      <c r="E31" t="s">
        <v>57</v>
      </c>
      <c r="F31" t="s">
        <v>58</v>
      </c>
      <c r="G31" t="s">
        <v>59</v>
      </c>
      <c r="H31">
        <v>99999</v>
      </c>
      <c r="I31" t="s">
        <v>30</v>
      </c>
      <c r="J31" t="s">
        <v>60</v>
      </c>
      <c r="K31" t="s">
        <v>61</v>
      </c>
      <c r="L31" s="2">
        <v>41680</v>
      </c>
      <c r="M31" t="s">
        <v>33</v>
      </c>
      <c r="N31" t="s">
        <v>63</v>
      </c>
      <c r="O31" t="s">
        <v>57</v>
      </c>
      <c r="P31" t="s">
        <v>58</v>
      </c>
      <c r="Q31" t="s">
        <v>59</v>
      </c>
      <c r="R31">
        <v>99999</v>
      </c>
      <c r="S31" t="s">
        <v>30</v>
      </c>
      <c r="T31" t="s">
        <v>35</v>
      </c>
      <c r="U31" t="s">
        <v>88</v>
      </c>
      <c r="V31" t="s">
        <v>89</v>
      </c>
      <c r="W31" s="3">
        <v>40</v>
      </c>
      <c r="X31">
        <v>32</v>
      </c>
      <c r="Y31" s="4">
        <v>1280</v>
      </c>
      <c r="Z31" s="3">
        <v>129.28</v>
      </c>
    </row>
    <row r="32" spans="1:26" x14ac:dyDescent="0.35">
      <c r="A32">
        <v>1031</v>
      </c>
      <c r="B32" s="2">
        <v>41673</v>
      </c>
      <c r="C32">
        <v>3</v>
      </c>
      <c r="D32" t="s">
        <v>74</v>
      </c>
      <c r="E32" t="s">
        <v>75</v>
      </c>
      <c r="F32" t="s">
        <v>76</v>
      </c>
      <c r="G32" t="s">
        <v>77</v>
      </c>
      <c r="H32">
        <v>99999</v>
      </c>
      <c r="I32" t="s">
        <v>30</v>
      </c>
      <c r="J32" t="s">
        <v>31</v>
      </c>
      <c r="K32" t="s">
        <v>32</v>
      </c>
      <c r="L32" s="2">
        <v>41675</v>
      </c>
      <c r="M32" t="s">
        <v>33</v>
      </c>
      <c r="N32" t="s">
        <v>78</v>
      </c>
      <c r="O32" t="s">
        <v>75</v>
      </c>
      <c r="P32" t="s">
        <v>76</v>
      </c>
      <c r="Q32" t="s">
        <v>77</v>
      </c>
      <c r="R32">
        <v>99999</v>
      </c>
      <c r="S32" t="s">
        <v>30</v>
      </c>
      <c r="T32" t="s">
        <v>79</v>
      </c>
      <c r="U32" t="s">
        <v>135</v>
      </c>
      <c r="V32" t="s">
        <v>112</v>
      </c>
      <c r="W32">
        <v>10</v>
      </c>
      <c r="X32">
        <v>63</v>
      </c>
      <c r="Y32" s="4">
        <v>630</v>
      </c>
      <c r="Z32" s="3">
        <v>65.52</v>
      </c>
    </row>
    <row r="33" spans="1:26" x14ac:dyDescent="0.35">
      <c r="A33">
        <v>1032</v>
      </c>
      <c r="B33" s="2">
        <v>41673</v>
      </c>
      <c r="C33">
        <v>3</v>
      </c>
      <c r="D33" t="s">
        <v>74</v>
      </c>
      <c r="E33" t="s">
        <v>75</v>
      </c>
      <c r="F33" t="s">
        <v>76</v>
      </c>
      <c r="G33" t="s">
        <v>77</v>
      </c>
      <c r="H33">
        <v>99999</v>
      </c>
      <c r="I33" t="s">
        <v>30</v>
      </c>
      <c r="J33" t="s">
        <v>31</v>
      </c>
      <c r="K33" t="s">
        <v>32</v>
      </c>
      <c r="L33" s="2">
        <v>41675</v>
      </c>
      <c r="M33" t="s">
        <v>33</v>
      </c>
      <c r="N33" t="s">
        <v>78</v>
      </c>
      <c r="O33" t="s">
        <v>75</v>
      </c>
      <c r="P33" t="s">
        <v>76</v>
      </c>
      <c r="Q33" t="s">
        <v>77</v>
      </c>
      <c r="R33">
        <v>99999</v>
      </c>
      <c r="S33" t="s">
        <v>30</v>
      </c>
      <c r="T33" t="s">
        <v>79</v>
      </c>
      <c r="U33" t="s">
        <v>88</v>
      </c>
      <c r="V33" t="s">
        <v>89</v>
      </c>
      <c r="W33">
        <v>40</v>
      </c>
      <c r="X33">
        <v>30</v>
      </c>
      <c r="Y33" s="4">
        <v>1200</v>
      </c>
      <c r="Z33" s="3">
        <v>120</v>
      </c>
    </row>
    <row r="34" spans="1:26" x14ac:dyDescent="0.35">
      <c r="A34">
        <v>1033</v>
      </c>
      <c r="B34" s="2">
        <v>41676</v>
      </c>
      <c r="C34">
        <v>6</v>
      </c>
      <c r="D34" t="s">
        <v>82</v>
      </c>
      <c r="E34" t="s">
        <v>83</v>
      </c>
      <c r="F34" t="s">
        <v>84</v>
      </c>
      <c r="G34" t="s">
        <v>85</v>
      </c>
      <c r="H34">
        <v>99999</v>
      </c>
      <c r="I34" t="s">
        <v>30</v>
      </c>
      <c r="J34" t="s">
        <v>86</v>
      </c>
      <c r="K34" t="s">
        <v>61</v>
      </c>
      <c r="L34" s="2">
        <v>41678</v>
      </c>
      <c r="M34" t="s">
        <v>33</v>
      </c>
      <c r="N34" t="s">
        <v>87</v>
      </c>
      <c r="O34" t="s">
        <v>83</v>
      </c>
      <c r="P34" t="s">
        <v>84</v>
      </c>
      <c r="Q34" t="s">
        <v>85</v>
      </c>
      <c r="R34">
        <v>99999</v>
      </c>
      <c r="S34" t="s">
        <v>30</v>
      </c>
      <c r="T34" t="s">
        <v>48</v>
      </c>
      <c r="V34" t="s">
        <v>163</v>
      </c>
      <c r="Y34" s="4">
        <v>10</v>
      </c>
      <c r="Z34" s="3">
        <v>43</v>
      </c>
    </row>
    <row r="35" spans="1:26" x14ac:dyDescent="0.35">
      <c r="A35">
        <v>1034</v>
      </c>
      <c r="B35" s="2">
        <v>41698</v>
      </c>
      <c r="C35">
        <v>28</v>
      </c>
      <c r="D35" t="s">
        <v>90</v>
      </c>
      <c r="E35" t="s">
        <v>91</v>
      </c>
      <c r="F35" t="s">
        <v>92</v>
      </c>
      <c r="G35" t="s">
        <v>93</v>
      </c>
      <c r="H35">
        <v>99999</v>
      </c>
      <c r="I35" t="s">
        <v>30</v>
      </c>
      <c r="J35" t="s">
        <v>94</v>
      </c>
      <c r="K35" t="s">
        <v>95</v>
      </c>
      <c r="L35" s="2">
        <v>41700</v>
      </c>
      <c r="M35" t="s">
        <v>62</v>
      </c>
      <c r="N35" t="s">
        <v>96</v>
      </c>
      <c r="O35" t="s">
        <v>91</v>
      </c>
      <c r="P35" t="s">
        <v>92</v>
      </c>
      <c r="Q35" t="s">
        <v>93</v>
      </c>
      <c r="R35">
        <v>99999</v>
      </c>
      <c r="S35" t="s">
        <v>30</v>
      </c>
      <c r="T35" t="s">
        <v>35</v>
      </c>
      <c r="V35" t="s">
        <v>163</v>
      </c>
      <c r="Y35" s="4">
        <v>10</v>
      </c>
      <c r="Z35" s="3">
        <v>31</v>
      </c>
    </row>
    <row r="36" spans="1:26" x14ac:dyDescent="0.35">
      <c r="A36">
        <v>1035</v>
      </c>
      <c r="B36" s="2">
        <v>41678</v>
      </c>
      <c r="C36">
        <v>8</v>
      </c>
      <c r="D36" t="s">
        <v>56</v>
      </c>
      <c r="E36" t="s">
        <v>57</v>
      </c>
      <c r="F36" t="s">
        <v>58</v>
      </c>
      <c r="G36" t="s">
        <v>59</v>
      </c>
      <c r="H36">
        <v>99999</v>
      </c>
      <c r="I36" t="s">
        <v>30</v>
      </c>
      <c r="J36" t="s">
        <v>60</v>
      </c>
      <c r="K36" t="s">
        <v>61</v>
      </c>
      <c r="L36" s="2">
        <v>41680</v>
      </c>
      <c r="M36" t="s">
        <v>62</v>
      </c>
      <c r="N36" t="s">
        <v>63</v>
      </c>
      <c r="O36" t="s">
        <v>57</v>
      </c>
      <c r="P36" t="s">
        <v>58</v>
      </c>
      <c r="Q36" t="s">
        <v>59</v>
      </c>
      <c r="R36">
        <v>99999</v>
      </c>
      <c r="S36" t="s">
        <v>30</v>
      </c>
      <c r="T36" t="s">
        <v>35</v>
      </c>
      <c r="V36" t="s">
        <v>163</v>
      </c>
      <c r="Y36" s="4">
        <v>10</v>
      </c>
      <c r="Z36" s="3">
        <v>46</v>
      </c>
    </row>
    <row r="37" spans="1:26" x14ac:dyDescent="0.35">
      <c r="A37">
        <v>1036</v>
      </c>
      <c r="B37" s="2">
        <v>41680</v>
      </c>
      <c r="C37">
        <v>10</v>
      </c>
      <c r="D37" t="s">
        <v>97</v>
      </c>
      <c r="E37" t="s">
        <v>98</v>
      </c>
      <c r="F37" t="s">
        <v>99</v>
      </c>
      <c r="G37" t="s">
        <v>100</v>
      </c>
      <c r="H37">
        <v>99999</v>
      </c>
      <c r="I37" t="s">
        <v>30</v>
      </c>
      <c r="J37" t="s">
        <v>101</v>
      </c>
      <c r="K37" t="s">
        <v>45</v>
      </c>
      <c r="L37" s="2">
        <v>41682</v>
      </c>
      <c r="M37" t="s">
        <v>33</v>
      </c>
      <c r="N37" t="s">
        <v>102</v>
      </c>
      <c r="O37" t="s">
        <v>98</v>
      </c>
      <c r="P37" t="s">
        <v>99</v>
      </c>
      <c r="Q37" t="s">
        <v>100</v>
      </c>
      <c r="R37">
        <v>99999</v>
      </c>
      <c r="S37" t="s">
        <v>30</v>
      </c>
      <c r="T37" t="s">
        <v>48</v>
      </c>
      <c r="U37" t="s">
        <v>136</v>
      </c>
      <c r="V37" t="s">
        <v>39</v>
      </c>
      <c r="W37">
        <v>10</v>
      </c>
      <c r="X37">
        <v>47</v>
      </c>
      <c r="Y37" s="4">
        <v>470</v>
      </c>
      <c r="Z37" s="3">
        <v>48.88</v>
      </c>
    </row>
    <row r="38" spans="1:26" x14ac:dyDescent="0.35">
      <c r="A38">
        <v>1038</v>
      </c>
      <c r="B38" s="2">
        <v>41680</v>
      </c>
      <c r="C38">
        <v>10</v>
      </c>
      <c r="D38" t="s">
        <v>97</v>
      </c>
      <c r="E38" t="s">
        <v>98</v>
      </c>
      <c r="F38" t="s">
        <v>99</v>
      </c>
      <c r="G38" t="s">
        <v>100</v>
      </c>
      <c r="H38">
        <v>99999</v>
      </c>
      <c r="I38" t="s">
        <v>30</v>
      </c>
      <c r="J38" t="s">
        <v>101</v>
      </c>
      <c r="K38" t="s">
        <v>45</v>
      </c>
      <c r="M38" t="s">
        <v>46</v>
      </c>
      <c r="N38" t="s">
        <v>102</v>
      </c>
      <c r="O38" t="s">
        <v>98</v>
      </c>
      <c r="P38" t="s">
        <v>99</v>
      </c>
      <c r="Q38" t="s">
        <v>100</v>
      </c>
      <c r="R38">
        <v>99999</v>
      </c>
      <c r="S38" t="s">
        <v>30</v>
      </c>
      <c r="U38" t="s">
        <v>38</v>
      </c>
      <c r="V38" t="s">
        <v>39</v>
      </c>
      <c r="W38">
        <v>3.5</v>
      </c>
      <c r="X38">
        <v>49</v>
      </c>
      <c r="Y38" s="4">
        <v>171.5</v>
      </c>
      <c r="Z38" s="3">
        <v>16.464000000000002</v>
      </c>
    </row>
    <row r="39" spans="1:26" x14ac:dyDescent="0.35">
      <c r="A39">
        <v>1039</v>
      </c>
      <c r="B39" s="2">
        <v>41681</v>
      </c>
      <c r="C39">
        <v>11</v>
      </c>
      <c r="D39" t="s">
        <v>113</v>
      </c>
      <c r="E39" t="s">
        <v>114</v>
      </c>
      <c r="F39" t="s">
        <v>115</v>
      </c>
      <c r="G39" t="s">
        <v>116</v>
      </c>
      <c r="H39">
        <v>99999</v>
      </c>
      <c r="I39" t="s">
        <v>30</v>
      </c>
      <c r="J39" t="s">
        <v>94</v>
      </c>
      <c r="K39" t="s">
        <v>95</v>
      </c>
      <c r="M39" t="s">
        <v>62</v>
      </c>
      <c r="N39" t="s">
        <v>117</v>
      </c>
      <c r="O39" t="s">
        <v>114</v>
      </c>
      <c r="P39" t="s">
        <v>115</v>
      </c>
      <c r="Q39" t="s">
        <v>116</v>
      </c>
      <c r="R39">
        <v>99999</v>
      </c>
      <c r="S39" t="s">
        <v>30</v>
      </c>
      <c r="U39" t="s">
        <v>88</v>
      </c>
      <c r="V39" t="s">
        <v>89</v>
      </c>
      <c r="W39">
        <v>40</v>
      </c>
      <c r="X39">
        <v>72</v>
      </c>
      <c r="Y39" s="4">
        <v>2880</v>
      </c>
      <c r="Z39" s="3">
        <v>285.12</v>
      </c>
    </row>
    <row r="40" spans="1:26" x14ac:dyDescent="0.35">
      <c r="A40">
        <v>1040</v>
      </c>
      <c r="B40" s="2">
        <v>41671</v>
      </c>
      <c r="C40">
        <v>1</v>
      </c>
      <c r="D40" t="s">
        <v>118</v>
      </c>
      <c r="E40" t="s">
        <v>119</v>
      </c>
      <c r="F40" t="s">
        <v>120</v>
      </c>
      <c r="G40" t="s">
        <v>121</v>
      </c>
      <c r="H40">
        <v>99999</v>
      </c>
      <c r="I40" t="s">
        <v>30</v>
      </c>
      <c r="J40" t="s">
        <v>60</v>
      </c>
      <c r="K40" t="s">
        <v>61</v>
      </c>
      <c r="M40" t="s">
        <v>62</v>
      </c>
      <c r="N40" t="s">
        <v>122</v>
      </c>
      <c r="O40" t="s">
        <v>119</v>
      </c>
      <c r="P40" t="s">
        <v>120</v>
      </c>
      <c r="Q40" t="s">
        <v>121</v>
      </c>
      <c r="R40">
        <v>99999</v>
      </c>
      <c r="S40" t="s">
        <v>30</v>
      </c>
      <c r="U40" t="s">
        <v>123</v>
      </c>
      <c r="V40" t="s">
        <v>124</v>
      </c>
      <c r="W40">
        <v>18.399999999999999</v>
      </c>
      <c r="X40">
        <v>13</v>
      </c>
      <c r="Y40" s="4">
        <v>239.2</v>
      </c>
      <c r="Z40" s="3">
        <v>23.680800000000001</v>
      </c>
    </row>
    <row r="41" spans="1:26" x14ac:dyDescent="0.35">
      <c r="A41">
        <v>1041</v>
      </c>
      <c r="B41" s="2">
        <v>41698</v>
      </c>
      <c r="C41">
        <v>28</v>
      </c>
      <c r="D41" t="s">
        <v>90</v>
      </c>
      <c r="E41" t="s">
        <v>91</v>
      </c>
      <c r="F41" t="s">
        <v>92</v>
      </c>
      <c r="G41" t="s">
        <v>93</v>
      </c>
      <c r="H41">
        <v>99999</v>
      </c>
      <c r="I41" t="s">
        <v>30</v>
      </c>
      <c r="J41" t="s">
        <v>94</v>
      </c>
      <c r="K41" t="s">
        <v>95</v>
      </c>
      <c r="L41">
        <v>41700</v>
      </c>
      <c r="M41" t="s">
        <v>62</v>
      </c>
      <c r="N41" t="s">
        <v>96</v>
      </c>
      <c r="O41" t="s">
        <v>91</v>
      </c>
      <c r="P41" t="s">
        <v>92</v>
      </c>
      <c r="Q41" t="s">
        <v>93</v>
      </c>
      <c r="R41">
        <v>99999</v>
      </c>
      <c r="S41" t="s">
        <v>30</v>
      </c>
      <c r="T41" t="s">
        <v>48</v>
      </c>
      <c r="U41" t="s">
        <v>55</v>
      </c>
      <c r="V41" t="s">
        <v>37</v>
      </c>
      <c r="W41">
        <v>46</v>
      </c>
      <c r="X41">
        <v>32</v>
      </c>
      <c r="Y41" s="4">
        <v>1472</v>
      </c>
      <c r="Z41" s="3">
        <v>148.67200000000003</v>
      </c>
    </row>
    <row r="42" spans="1:26" x14ac:dyDescent="0.35">
      <c r="A42">
        <v>1042</v>
      </c>
      <c r="B42" s="2">
        <v>41679</v>
      </c>
      <c r="C42">
        <v>9</v>
      </c>
      <c r="D42" t="s">
        <v>125</v>
      </c>
      <c r="E42" t="s">
        <v>126</v>
      </c>
      <c r="F42" t="s">
        <v>127</v>
      </c>
      <c r="G42" t="s">
        <v>128</v>
      </c>
      <c r="H42">
        <v>99999</v>
      </c>
      <c r="I42" t="s">
        <v>30</v>
      </c>
      <c r="J42" t="s">
        <v>129</v>
      </c>
      <c r="K42" t="s">
        <v>32</v>
      </c>
      <c r="L42" s="2">
        <v>41681</v>
      </c>
      <c r="M42" t="s">
        <v>46</v>
      </c>
      <c r="N42" t="s">
        <v>130</v>
      </c>
      <c r="O42" t="s">
        <v>126</v>
      </c>
      <c r="P42" t="s">
        <v>127</v>
      </c>
      <c r="Q42" t="s">
        <v>128</v>
      </c>
      <c r="R42">
        <v>99999</v>
      </c>
      <c r="S42" t="s">
        <v>30</v>
      </c>
      <c r="T42" t="s">
        <v>35</v>
      </c>
      <c r="U42" t="s">
        <v>80</v>
      </c>
      <c r="V42" t="s">
        <v>81</v>
      </c>
      <c r="W42">
        <v>9.65</v>
      </c>
      <c r="X42">
        <v>27</v>
      </c>
      <c r="Y42" s="4">
        <v>260.55</v>
      </c>
      <c r="Z42" s="3">
        <v>24.752250000000004</v>
      </c>
    </row>
    <row r="43" spans="1:26" x14ac:dyDescent="0.35">
      <c r="A43">
        <v>1043</v>
      </c>
      <c r="B43" s="2">
        <v>41676</v>
      </c>
      <c r="C43">
        <v>6</v>
      </c>
      <c r="D43" t="s">
        <v>82</v>
      </c>
      <c r="E43" t="s">
        <v>83</v>
      </c>
      <c r="F43" t="s">
        <v>84</v>
      </c>
      <c r="G43" t="s">
        <v>85</v>
      </c>
      <c r="H43">
        <v>99999</v>
      </c>
      <c r="I43" t="s">
        <v>30</v>
      </c>
      <c r="J43" t="s">
        <v>86</v>
      </c>
      <c r="K43" t="s">
        <v>61</v>
      </c>
      <c r="L43" s="2">
        <v>41678</v>
      </c>
      <c r="M43" t="s">
        <v>33</v>
      </c>
      <c r="N43" t="s">
        <v>87</v>
      </c>
      <c r="O43" t="s">
        <v>83</v>
      </c>
      <c r="P43" t="s">
        <v>84</v>
      </c>
      <c r="Q43" t="s">
        <v>85</v>
      </c>
      <c r="R43">
        <v>99999</v>
      </c>
      <c r="S43" t="s">
        <v>30</v>
      </c>
      <c r="T43" t="s">
        <v>48</v>
      </c>
      <c r="U43" t="s">
        <v>72</v>
      </c>
      <c r="V43" t="s">
        <v>73</v>
      </c>
      <c r="W43">
        <v>12.75</v>
      </c>
      <c r="X43">
        <v>71</v>
      </c>
      <c r="Y43" s="4">
        <v>905.25</v>
      </c>
      <c r="Z43" s="3">
        <v>91.430250000000001</v>
      </c>
    </row>
    <row r="44" spans="1:26" x14ac:dyDescent="0.35">
      <c r="A44">
        <v>1044</v>
      </c>
      <c r="B44" s="2">
        <v>41678</v>
      </c>
      <c r="C44">
        <v>8</v>
      </c>
      <c r="D44" t="s">
        <v>56</v>
      </c>
      <c r="E44" t="s">
        <v>57</v>
      </c>
      <c r="F44" t="s">
        <v>58</v>
      </c>
      <c r="G44" t="s">
        <v>59</v>
      </c>
      <c r="H44">
        <v>99999</v>
      </c>
      <c r="I44" t="s">
        <v>30</v>
      </c>
      <c r="J44" t="s">
        <v>60</v>
      </c>
      <c r="K44" t="s">
        <v>61</v>
      </c>
      <c r="L44" s="2">
        <v>41680</v>
      </c>
      <c r="M44" t="s">
        <v>33</v>
      </c>
      <c r="N44" t="s">
        <v>63</v>
      </c>
      <c r="O44" t="s">
        <v>57</v>
      </c>
      <c r="P44" t="s">
        <v>58</v>
      </c>
      <c r="Q44" t="s">
        <v>59</v>
      </c>
      <c r="R44">
        <v>99999</v>
      </c>
      <c r="S44" t="s">
        <v>30</v>
      </c>
      <c r="T44" t="s">
        <v>35</v>
      </c>
      <c r="U44" t="s">
        <v>72</v>
      </c>
      <c r="V44" t="s">
        <v>73</v>
      </c>
      <c r="W44">
        <v>12.75</v>
      </c>
      <c r="X44">
        <v>13</v>
      </c>
      <c r="Y44" s="4">
        <v>165.75</v>
      </c>
      <c r="Z44" s="3">
        <v>15.746249999999998</v>
      </c>
    </row>
    <row r="45" spans="1:26" x14ac:dyDescent="0.35">
      <c r="A45">
        <v>1045</v>
      </c>
      <c r="B45" s="2">
        <v>41695</v>
      </c>
      <c r="C45">
        <v>25</v>
      </c>
      <c r="D45" t="s">
        <v>137</v>
      </c>
      <c r="E45" t="s">
        <v>138</v>
      </c>
      <c r="F45" t="s">
        <v>99</v>
      </c>
      <c r="G45" t="s">
        <v>100</v>
      </c>
      <c r="H45">
        <v>99999</v>
      </c>
      <c r="I45" t="s">
        <v>30</v>
      </c>
      <c r="J45" t="s">
        <v>101</v>
      </c>
      <c r="K45" t="s">
        <v>45</v>
      </c>
      <c r="L45" s="2">
        <v>41697</v>
      </c>
      <c r="M45" t="s">
        <v>46</v>
      </c>
      <c r="N45" t="s">
        <v>139</v>
      </c>
      <c r="O45" t="s">
        <v>138</v>
      </c>
      <c r="P45" t="s">
        <v>99</v>
      </c>
      <c r="Q45" t="s">
        <v>100</v>
      </c>
      <c r="R45">
        <v>99999</v>
      </c>
      <c r="S45" t="s">
        <v>30</v>
      </c>
      <c r="T45" t="s">
        <v>79</v>
      </c>
      <c r="U45" t="s">
        <v>111</v>
      </c>
      <c r="V45" t="s">
        <v>112</v>
      </c>
      <c r="W45">
        <v>22</v>
      </c>
      <c r="X45">
        <v>98</v>
      </c>
      <c r="Y45" s="4">
        <v>2156</v>
      </c>
      <c r="Z45" s="3">
        <v>204.82000000000002</v>
      </c>
    </row>
    <row r="46" spans="1:26" x14ac:dyDescent="0.35">
      <c r="A46">
        <v>1046</v>
      </c>
      <c r="B46" s="2">
        <v>41696</v>
      </c>
      <c r="C46">
        <v>26</v>
      </c>
      <c r="D46" t="s">
        <v>140</v>
      </c>
      <c r="E46" t="s">
        <v>141</v>
      </c>
      <c r="F46" t="s">
        <v>115</v>
      </c>
      <c r="G46" t="s">
        <v>116</v>
      </c>
      <c r="H46">
        <v>99999</v>
      </c>
      <c r="I46" t="s">
        <v>30</v>
      </c>
      <c r="J46" t="s">
        <v>94</v>
      </c>
      <c r="K46" t="s">
        <v>95</v>
      </c>
      <c r="L46" s="2">
        <v>41698</v>
      </c>
      <c r="M46" t="s">
        <v>62</v>
      </c>
      <c r="N46" t="s">
        <v>142</v>
      </c>
      <c r="O46" t="s">
        <v>141</v>
      </c>
      <c r="P46" t="s">
        <v>115</v>
      </c>
      <c r="Q46" t="s">
        <v>116</v>
      </c>
      <c r="R46">
        <v>99999</v>
      </c>
      <c r="S46" t="s">
        <v>30</v>
      </c>
      <c r="T46" t="s">
        <v>48</v>
      </c>
      <c r="U46" t="s">
        <v>109</v>
      </c>
      <c r="V46" t="s">
        <v>110</v>
      </c>
      <c r="W46">
        <v>25</v>
      </c>
      <c r="X46">
        <v>21</v>
      </c>
      <c r="Y46" s="4">
        <v>525</v>
      </c>
      <c r="Z46" s="3">
        <v>53.550000000000004</v>
      </c>
    </row>
    <row r="47" spans="1:26" x14ac:dyDescent="0.35">
      <c r="A47">
        <v>1047</v>
      </c>
      <c r="B47" s="2">
        <v>41699</v>
      </c>
      <c r="C47">
        <v>29</v>
      </c>
      <c r="D47" t="s">
        <v>66</v>
      </c>
      <c r="E47" t="s">
        <v>67</v>
      </c>
      <c r="F47" t="s">
        <v>68</v>
      </c>
      <c r="G47" t="s">
        <v>69</v>
      </c>
      <c r="H47">
        <v>99999</v>
      </c>
      <c r="I47" t="s">
        <v>30</v>
      </c>
      <c r="J47" t="s">
        <v>70</v>
      </c>
      <c r="K47" t="s">
        <v>32</v>
      </c>
      <c r="L47" s="2">
        <v>41701</v>
      </c>
      <c r="M47" t="s">
        <v>33</v>
      </c>
      <c r="N47" t="s">
        <v>71</v>
      </c>
      <c r="O47" t="s">
        <v>67</v>
      </c>
      <c r="P47" t="s">
        <v>68</v>
      </c>
      <c r="Q47" t="s">
        <v>69</v>
      </c>
      <c r="R47">
        <v>99999</v>
      </c>
      <c r="S47" t="s">
        <v>30</v>
      </c>
      <c r="T47" t="s">
        <v>35</v>
      </c>
      <c r="U47" t="s">
        <v>143</v>
      </c>
      <c r="V47" t="s">
        <v>144</v>
      </c>
      <c r="W47">
        <v>39</v>
      </c>
      <c r="X47">
        <v>26</v>
      </c>
      <c r="Y47" s="4">
        <v>1014</v>
      </c>
      <c r="Z47" s="3">
        <v>106.47000000000001</v>
      </c>
    </row>
    <row r="48" spans="1:26" x14ac:dyDescent="0.35">
      <c r="A48">
        <v>1048</v>
      </c>
      <c r="B48" s="2">
        <v>41676</v>
      </c>
      <c r="C48">
        <v>6</v>
      </c>
      <c r="D48" t="s">
        <v>82</v>
      </c>
      <c r="E48" t="s">
        <v>83</v>
      </c>
      <c r="F48" t="s">
        <v>84</v>
      </c>
      <c r="G48" t="s">
        <v>85</v>
      </c>
      <c r="H48">
        <v>99999</v>
      </c>
      <c r="I48" t="s">
        <v>30</v>
      </c>
      <c r="J48" t="s">
        <v>86</v>
      </c>
      <c r="K48" t="s">
        <v>61</v>
      </c>
      <c r="L48" s="2">
        <v>41678</v>
      </c>
      <c r="M48" t="s">
        <v>62</v>
      </c>
      <c r="N48" t="s">
        <v>87</v>
      </c>
      <c r="O48" t="s">
        <v>83</v>
      </c>
      <c r="P48" t="s">
        <v>84</v>
      </c>
      <c r="Q48" t="s">
        <v>85</v>
      </c>
      <c r="R48">
        <v>99999</v>
      </c>
      <c r="S48" t="s">
        <v>30</v>
      </c>
      <c r="T48" t="s">
        <v>35</v>
      </c>
      <c r="U48" t="s">
        <v>49</v>
      </c>
      <c r="V48" t="s">
        <v>39</v>
      </c>
      <c r="W48">
        <v>30</v>
      </c>
      <c r="X48">
        <v>96</v>
      </c>
      <c r="Y48" s="4">
        <v>2880</v>
      </c>
      <c r="Z48" s="3">
        <v>296.64</v>
      </c>
    </row>
    <row r="49" spans="1:26" x14ac:dyDescent="0.35">
      <c r="A49">
        <v>1049</v>
      </c>
      <c r="B49" s="2">
        <v>41676</v>
      </c>
      <c r="C49">
        <v>6</v>
      </c>
      <c r="D49" t="s">
        <v>82</v>
      </c>
      <c r="E49" t="s">
        <v>83</v>
      </c>
      <c r="F49" t="s">
        <v>84</v>
      </c>
      <c r="G49" t="s">
        <v>85</v>
      </c>
      <c r="H49">
        <v>99999</v>
      </c>
      <c r="I49" t="s">
        <v>30</v>
      </c>
      <c r="J49" t="s">
        <v>86</v>
      </c>
      <c r="K49" t="s">
        <v>61</v>
      </c>
      <c r="L49" s="2">
        <v>41678</v>
      </c>
      <c r="M49" t="s">
        <v>62</v>
      </c>
      <c r="N49" t="s">
        <v>87</v>
      </c>
      <c r="O49" t="s">
        <v>83</v>
      </c>
      <c r="P49" t="s">
        <v>84</v>
      </c>
      <c r="Q49" t="s">
        <v>85</v>
      </c>
      <c r="R49">
        <v>99999</v>
      </c>
      <c r="S49" t="s">
        <v>30</v>
      </c>
      <c r="T49" t="s">
        <v>35</v>
      </c>
      <c r="U49" t="s">
        <v>50</v>
      </c>
      <c r="V49" t="s">
        <v>39</v>
      </c>
      <c r="W49">
        <v>53</v>
      </c>
      <c r="X49">
        <v>16</v>
      </c>
      <c r="Y49" s="4">
        <v>848</v>
      </c>
      <c r="Z49" s="3">
        <v>88.192000000000021</v>
      </c>
    </row>
    <row r="50" spans="1:26" x14ac:dyDescent="0.35">
      <c r="A50">
        <v>1050</v>
      </c>
      <c r="B50" s="2">
        <v>41674</v>
      </c>
      <c r="C50">
        <v>4</v>
      </c>
      <c r="D50" t="s">
        <v>40</v>
      </c>
      <c r="E50" t="s">
        <v>41</v>
      </c>
      <c r="F50" t="s">
        <v>42</v>
      </c>
      <c r="G50" t="s">
        <v>43</v>
      </c>
      <c r="H50">
        <v>99999</v>
      </c>
      <c r="I50" t="s">
        <v>30</v>
      </c>
      <c r="J50" t="s">
        <v>44</v>
      </c>
      <c r="K50" t="s">
        <v>45</v>
      </c>
      <c r="L50" s="2"/>
      <c r="N50" t="s">
        <v>47</v>
      </c>
      <c r="O50" t="s">
        <v>41</v>
      </c>
      <c r="P50" t="s">
        <v>42</v>
      </c>
      <c r="Q50" t="s">
        <v>43</v>
      </c>
      <c r="R50">
        <v>99999</v>
      </c>
      <c r="S50" t="s">
        <v>30</v>
      </c>
      <c r="U50" t="s">
        <v>145</v>
      </c>
      <c r="V50" t="s">
        <v>132</v>
      </c>
      <c r="W50">
        <v>38</v>
      </c>
      <c r="X50">
        <v>96</v>
      </c>
      <c r="Y50" s="4">
        <v>3648</v>
      </c>
      <c r="Z50" s="3">
        <v>346.56</v>
      </c>
    </row>
    <row r="51" spans="1:26" x14ac:dyDescent="0.35">
      <c r="A51">
        <v>1051</v>
      </c>
      <c r="B51" s="2">
        <v>41673</v>
      </c>
      <c r="C51">
        <v>3</v>
      </c>
      <c r="D51" t="s">
        <v>74</v>
      </c>
      <c r="E51" t="s">
        <v>75</v>
      </c>
      <c r="F51" t="s">
        <v>76</v>
      </c>
      <c r="G51" t="s">
        <v>77</v>
      </c>
      <c r="H51">
        <v>99999</v>
      </c>
      <c r="I51" t="s">
        <v>30</v>
      </c>
      <c r="J51" t="s">
        <v>31</v>
      </c>
      <c r="K51" t="s">
        <v>32</v>
      </c>
      <c r="N51" t="s">
        <v>78</v>
      </c>
      <c r="O51" t="s">
        <v>75</v>
      </c>
      <c r="P51" t="s">
        <v>76</v>
      </c>
      <c r="Q51" t="s">
        <v>77</v>
      </c>
      <c r="R51">
        <v>99999</v>
      </c>
      <c r="S51" t="s">
        <v>30</v>
      </c>
      <c r="U51" t="s">
        <v>103</v>
      </c>
      <c r="V51" t="s">
        <v>37</v>
      </c>
      <c r="W51">
        <v>2.99</v>
      </c>
      <c r="X51">
        <v>75</v>
      </c>
      <c r="Y51" s="4">
        <v>224.25000000000003</v>
      </c>
      <c r="Z51" s="3">
        <v>23.097750000000005</v>
      </c>
    </row>
    <row r="52" spans="1:26" x14ac:dyDescent="0.35">
      <c r="A52">
        <v>1052</v>
      </c>
      <c r="B52" s="2">
        <v>41707</v>
      </c>
      <c r="C52">
        <v>9</v>
      </c>
      <c r="D52" t="s">
        <v>125</v>
      </c>
      <c r="E52" t="s">
        <v>126</v>
      </c>
      <c r="F52" t="s">
        <v>127</v>
      </c>
      <c r="G52" t="s">
        <v>128</v>
      </c>
      <c r="H52">
        <v>99999</v>
      </c>
      <c r="I52" t="s">
        <v>30</v>
      </c>
      <c r="J52" t="s">
        <v>129</v>
      </c>
      <c r="K52" t="s">
        <v>32</v>
      </c>
      <c r="L52">
        <v>41709</v>
      </c>
      <c r="M52" t="s">
        <v>46</v>
      </c>
      <c r="N52" t="s">
        <v>130</v>
      </c>
      <c r="O52" t="s">
        <v>126</v>
      </c>
      <c r="P52" t="s">
        <v>127</v>
      </c>
      <c r="Q52" t="s">
        <v>128</v>
      </c>
      <c r="R52">
        <v>99999</v>
      </c>
      <c r="S52" t="s">
        <v>30</v>
      </c>
      <c r="T52" t="s">
        <v>35</v>
      </c>
      <c r="U52" t="s">
        <v>131</v>
      </c>
      <c r="V52" t="s">
        <v>132</v>
      </c>
      <c r="W52">
        <v>19.5</v>
      </c>
      <c r="X52">
        <v>55</v>
      </c>
      <c r="Y52" s="4">
        <v>1072.5</v>
      </c>
      <c r="Z52" s="3">
        <v>108.32250000000001</v>
      </c>
    </row>
    <row r="53" spans="1:26" x14ac:dyDescent="0.35">
      <c r="A53">
        <v>1053</v>
      </c>
      <c r="B53" s="2">
        <v>41707</v>
      </c>
      <c r="C53">
        <v>9</v>
      </c>
      <c r="D53" t="s">
        <v>125</v>
      </c>
      <c r="E53" t="s">
        <v>126</v>
      </c>
      <c r="F53" t="s">
        <v>127</v>
      </c>
      <c r="G53" t="s">
        <v>128</v>
      </c>
      <c r="H53">
        <v>99999</v>
      </c>
      <c r="I53" t="s">
        <v>30</v>
      </c>
      <c r="J53" t="s">
        <v>129</v>
      </c>
      <c r="K53" t="s">
        <v>32</v>
      </c>
      <c r="L53" s="2">
        <v>41709</v>
      </c>
      <c r="M53" t="s">
        <v>46</v>
      </c>
      <c r="N53" t="s">
        <v>130</v>
      </c>
      <c r="O53" t="s">
        <v>126</v>
      </c>
      <c r="P53" t="s">
        <v>127</v>
      </c>
      <c r="Q53" t="s">
        <v>128</v>
      </c>
      <c r="R53">
        <v>99999</v>
      </c>
      <c r="S53" t="s">
        <v>30</v>
      </c>
      <c r="T53" t="s">
        <v>35</v>
      </c>
      <c r="U53" t="s">
        <v>133</v>
      </c>
      <c r="V53" t="s">
        <v>134</v>
      </c>
      <c r="W53" s="3">
        <v>34.799999999999997</v>
      </c>
      <c r="X53">
        <v>11</v>
      </c>
      <c r="Y53" s="4">
        <v>382.79999999999995</v>
      </c>
      <c r="Z53" s="3">
        <v>36.748799999999996</v>
      </c>
    </row>
    <row r="54" spans="1:26" x14ac:dyDescent="0.35">
      <c r="A54">
        <v>1054</v>
      </c>
      <c r="B54" s="2">
        <v>41704</v>
      </c>
      <c r="C54">
        <v>6</v>
      </c>
      <c r="D54" t="s">
        <v>82</v>
      </c>
      <c r="E54" t="s">
        <v>83</v>
      </c>
      <c r="F54" t="s">
        <v>84</v>
      </c>
      <c r="G54" t="s">
        <v>85</v>
      </c>
      <c r="H54">
        <v>99999</v>
      </c>
      <c r="I54" t="s">
        <v>30</v>
      </c>
      <c r="J54" t="s">
        <v>86</v>
      </c>
      <c r="K54" t="s">
        <v>61</v>
      </c>
      <c r="L54" s="2">
        <v>41706</v>
      </c>
      <c r="M54" t="s">
        <v>33</v>
      </c>
      <c r="N54" t="s">
        <v>87</v>
      </c>
      <c r="O54" t="s">
        <v>83</v>
      </c>
      <c r="P54" t="s">
        <v>84</v>
      </c>
      <c r="Q54" t="s">
        <v>85</v>
      </c>
      <c r="R54">
        <v>99999</v>
      </c>
      <c r="S54" t="s">
        <v>30</v>
      </c>
      <c r="T54" t="s">
        <v>48</v>
      </c>
      <c r="U54" t="s">
        <v>36</v>
      </c>
      <c r="V54" t="s">
        <v>37</v>
      </c>
      <c r="W54" s="3">
        <v>14</v>
      </c>
      <c r="X54">
        <v>53</v>
      </c>
      <c r="Y54" s="4">
        <v>742</v>
      </c>
      <c r="Z54" s="3">
        <v>71.974000000000004</v>
      </c>
    </row>
    <row r="55" spans="1:26" x14ac:dyDescent="0.35">
      <c r="A55">
        <v>1055</v>
      </c>
      <c r="B55" s="2">
        <v>41706</v>
      </c>
      <c r="C55">
        <v>8</v>
      </c>
      <c r="D55" t="s">
        <v>56</v>
      </c>
      <c r="E55" t="s">
        <v>57</v>
      </c>
      <c r="F55" t="s">
        <v>58</v>
      </c>
      <c r="G55" t="s">
        <v>59</v>
      </c>
      <c r="H55">
        <v>99999</v>
      </c>
      <c r="I55" t="s">
        <v>30</v>
      </c>
      <c r="J55" t="s">
        <v>60</v>
      </c>
      <c r="K55" t="s">
        <v>61</v>
      </c>
      <c r="L55" s="2">
        <v>41708</v>
      </c>
      <c r="M55" t="s">
        <v>33</v>
      </c>
      <c r="N55" t="s">
        <v>63</v>
      </c>
      <c r="O55" t="s">
        <v>57</v>
      </c>
      <c r="P55" t="s">
        <v>58</v>
      </c>
      <c r="Q55" t="s">
        <v>59</v>
      </c>
      <c r="R55">
        <v>99999</v>
      </c>
      <c r="S55" t="s">
        <v>30</v>
      </c>
      <c r="T55" t="s">
        <v>35</v>
      </c>
      <c r="U55" t="s">
        <v>88</v>
      </c>
      <c r="V55" t="s">
        <v>89</v>
      </c>
      <c r="W55" s="3">
        <v>40</v>
      </c>
      <c r="X55">
        <v>85</v>
      </c>
      <c r="Y55" s="4">
        <v>3400</v>
      </c>
      <c r="Z55" s="3">
        <v>357</v>
      </c>
    </row>
    <row r="56" spans="1:26" x14ac:dyDescent="0.35">
      <c r="A56">
        <v>1056</v>
      </c>
      <c r="B56" s="2">
        <v>41706</v>
      </c>
      <c r="C56">
        <v>8</v>
      </c>
      <c r="D56" t="s">
        <v>56</v>
      </c>
      <c r="E56" t="s">
        <v>57</v>
      </c>
      <c r="F56" t="s">
        <v>58</v>
      </c>
      <c r="G56" t="s">
        <v>59</v>
      </c>
      <c r="H56">
        <v>99999</v>
      </c>
      <c r="I56" t="s">
        <v>30</v>
      </c>
      <c r="J56" t="s">
        <v>60</v>
      </c>
      <c r="K56" t="s">
        <v>61</v>
      </c>
      <c r="L56" s="2">
        <v>41708</v>
      </c>
      <c r="M56" t="s">
        <v>33</v>
      </c>
      <c r="N56" t="s">
        <v>63</v>
      </c>
      <c r="O56" t="s">
        <v>57</v>
      </c>
      <c r="P56" t="s">
        <v>58</v>
      </c>
      <c r="Q56" t="s">
        <v>59</v>
      </c>
      <c r="R56">
        <v>99999</v>
      </c>
      <c r="S56" t="s">
        <v>30</v>
      </c>
      <c r="T56" t="s">
        <v>35</v>
      </c>
      <c r="U56" t="s">
        <v>64</v>
      </c>
      <c r="V56" t="s">
        <v>65</v>
      </c>
      <c r="W56" s="3">
        <v>9.1999999999999993</v>
      </c>
      <c r="X56">
        <v>97</v>
      </c>
      <c r="Y56" s="4">
        <v>892.4</v>
      </c>
      <c r="Z56" s="3">
        <v>91.024800000000013</v>
      </c>
    </row>
    <row r="57" spans="1:26" x14ac:dyDescent="0.35">
      <c r="A57">
        <v>1057</v>
      </c>
      <c r="B57" s="2">
        <v>41723</v>
      </c>
      <c r="C57">
        <v>25</v>
      </c>
      <c r="D57" t="s">
        <v>137</v>
      </c>
      <c r="E57" t="s">
        <v>138</v>
      </c>
      <c r="F57" t="s">
        <v>99</v>
      </c>
      <c r="G57" t="s">
        <v>100</v>
      </c>
      <c r="H57">
        <v>99999</v>
      </c>
      <c r="I57" t="s">
        <v>30</v>
      </c>
      <c r="J57" t="s">
        <v>101</v>
      </c>
      <c r="K57" t="s">
        <v>45</v>
      </c>
      <c r="L57" s="2">
        <v>41725</v>
      </c>
      <c r="M57" t="s">
        <v>46</v>
      </c>
      <c r="N57" t="s">
        <v>139</v>
      </c>
      <c r="O57" t="s">
        <v>138</v>
      </c>
      <c r="P57" t="s">
        <v>99</v>
      </c>
      <c r="Q57" t="s">
        <v>100</v>
      </c>
      <c r="R57">
        <v>99999</v>
      </c>
      <c r="S57" t="s">
        <v>30</v>
      </c>
      <c r="T57" t="s">
        <v>79</v>
      </c>
      <c r="U57" t="s">
        <v>146</v>
      </c>
      <c r="V57" t="s">
        <v>65</v>
      </c>
      <c r="W57" s="3">
        <v>10</v>
      </c>
      <c r="X57">
        <v>46</v>
      </c>
      <c r="Y57" s="4">
        <v>460</v>
      </c>
      <c r="Z57" s="3">
        <v>46.46</v>
      </c>
    </row>
    <row r="58" spans="1:26" x14ac:dyDescent="0.35">
      <c r="A58">
        <v>1058</v>
      </c>
      <c r="B58" s="2">
        <v>41724</v>
      </c>
      <c r="C58">
        <v>26</v>
      </c>
      <c r="D58" t="s">
        <v>140</v>
      </c>
      <c r="E58" t="s">
        <v>141</v>
      </c>
      <c r="F58" t="s">
        <v>115</v>
      </c>
      <c r="G58" t="s">
        <v>116</v>
      </c>
      <c r="H58">
        <v>99999</v>
      </c>
      <c r="I58" t="s">
        <v>30</v>
      </c>
      <c r="J58" t="s">
        <v>94</v>
      </c>
      <c r="K58" t="s">
        <v>95</v>
      </c>
      <c r="L58" s="2">
        <v>41726</v>
      </c>
      <c r="M58" t="s">
        <v>62</v>
      </c>
      <c r="N58" t="s">
        <v>142</v>
      </c>
      <c r="O58" t="s">
        <v>141</v>
      </c>
      <c r="P58" t="s">
        <v>115</v>
      </c>
      <c r="Q58" t="s">
        <v>116</v>
      </c>
      <c r="R58">
        <v>99999</v>
      </c>
      <c r="S58" t="s">
        <v>30</v>
      </c>
      <c r="T58" t="s">
        <v>48</v>
      </c>
      <c r="U58" t="s">
        <v>147</v>
      </c>
      <c r="V58" t="s">
        <v>148</v>
      </c>
      <c r="W58" s="3">
        <v>21.35</v>
      </c>
      <c r="X58">
        <v>97</v>
      </c>
      <c r="Y58" s="4">
        <v>2070.9500000000003</v>
      </c>
      <c r="Z58" s="3">
        <v>196.74025</v>
      </c>
    </row>
    <row r="59" spans="1:26" x14ac:dyDescent="0.35">
      <c r="A59">
        <v>1059</v>
      </c>
      <c r="B59" s="2">
        <v>41724</v>
      </c>
      <c r="C59">
        <v>26</v>
      </c>
      <c r="D59" t="s">
        <v>140</v>
      </c>
      <c r="E59" t="s">
        <v>141</v>
      </c>
      <c r="F59" t="s">
        <v>115</v>
      </c>
      <c r="G59" t="s">
        <v>116</v>
      </c>
      <c r="H59">
        <v>99999</v>
      </c>
      <c r="I59" t="s">
        <v>30</v>
      </c>
      <c r="J59" t="s">
        <v>94</v>
      </c>
      <c r="K59" t="s">
        <v>95</v>
      </c>
      <c r="L59" s="2">
        <v>41726</v>
      </c>
      <c r="M59" t="s">
        <v>62</v>
      </c>
      <c r="N59" t="s">
        <v>142</v>
      </c>
      <c r="O59" t="s">
        <v>141</v>
      </c>
      <c r="P59" t="s">
        <v>115</v>
      </c>
      <c r="Q59" t="s">
        <v>116</v>
      </c>
      <c r="R59">
        <v>99999</v>
      </c>
      <c r="S59" t="s">
        <v>30</v>
      </c>
      <c r="T59" t="s">
        <v>48</v>
      </c>
      <c r="U59" t="s">
        <v>80</v>
      </c>
      <c r="V59" t="s">
        <v>81</v>
      </c>
      <c r="W59" s="3">
        <v>9.65</v>
      </c>
      <c r="X59">
        <v>97</v>
      </c>
      <c r="Y59" s="4">
        <v>936.05000000000007</v>
      </c>
      <c r="Z59" s="3">
        <v>95.477100000000021</v>
      </c>
    </row>
    <row r="60" spans="1:26" x14ac:dyDescent="0.35">
      <c r="A60">
        <v>1060</v>
      </c>
      <c r="B60" s="2">
        <v>41724</v>
      </c>
      <c r="C60">
        <v>26</v>
      </c>
      <c r="D60" t="s">
        <v>140</v>
      </c>
      <c r="E60" t="s">
        <v>141</v>
      </c>
      <c r="F60" t="s">
        <v>115</v>
      </c>
      <c r="G60" t="s">
        <v>116</v>
      </c>
      <c r="H60">
        <v>99999</v>
      </c>
      <c r="I60" t="s">
        <v>30</v>
      </c>
      <c r="J60" t="s">
        <v>94</v>
      </c>
      <c r="K60" t="s">
        <v>95</v>
      </c>
      <c r="L60" s="2">
        <v>41726</v>
      </c>
      <c r="M60" t="s">
        <v>62</v>
      </c>
      <c r="N60" t="s">
        <v>142</v>
      </c>
      <c r="O60" t="s">
        <v>141</v>
      </c>
      <c r="P60" t="s">
        <v>115</v>
      </c>
      <c r="Q60" t="s">
        <v>116</v>
      </c>
      <c r="R60">
        <v>99999</v>
      </c>
      <c r="S60" t="s">
        <v>30</v>
      </c>
      <c r="T60" t="s">
        <v>48</v>
      </c>
      <c r="U60" t="s">
        <v>123</v>
      </c>
      <c r="V60" t="s">
        <v>124</v>
      </c>
      <c r="W60" s="3">
        <v>18.399999999999999</v>
      </c>
      <c r="X60">
        <v>65</v>
      </c>
      <c r="Y60" s="4">
        <v>1196</v>
      </c>
      <c r="Z60" s="3">
        <v>123.18800000000002</v>
      </c>
    </row>
    <row r="61" spans="1:26" x14ac:dyDescent="0.35">
      <c r="A61">
        <v>1061</v>
      </c>
      <c r="B61" s="2">
        <v>41727</v>
      </c>
      <c r="C61">
        <v>29</v>
      </c>
      <c r="D61" t="s">
        <v>66</v>
      </c>
      <c r="E61" t="s">
        <v>67</v>
      </c>
      <c r="F61" t="s">
        <v>68</v>
      </c>
      <c r="G61" t="s">
        <v>69</v>
      </c>
      <c r="H61">
        <v>99999</v>
      </c>
      <c r="I61" t="s">
        <v>30</v>
      </c>
      <c r="J61" t="s">
        <v>70</v>
      </c>
      <c r="K61" t="s">
        <v>32</v>
      </c>
      <c r="L61" s="2">
        <v>41729</v>
      </c>
      <c r="M61" t="s">
        <v>33</v>
      </c>
      <c r="N61" t="s">
        <v>71</v>
      </c>
      <c r="O61" t="s">
        <v>67</v>
      </c>
      <c r="P61" t="s">
        <v>68</v>
      </c>
      <c r="Q61" t="s">
        <v>69</v>
      </c>
      <c r="R61">
        <v>99999</v>
      </c>
      <c r="S61" t="s">
        <v>30</v>
      </c>
      <c r="T61" t="s">
        <v>35</v>
      </c>
      <c r="U61" t="s">
        <v>36</v>
      </c>
      <c r="V61" t="s">
        <v>37</v>
      </c>
      <c r="W61" s="3">
        <v>14</v>
      </c>
      <c r="X61">
        <v>72</v>
      </c>
      <c r="Y61" s="4">
        <v>1008</v>
      </c>
      <c r="Z61" s="3">
        <v>100.80000000000001</v>
      </c>
    </row>
    <row r="62" spans="1:26" x14ac:dyDescent="0.35">
      <c r="A62">
        <v>1062</v>
      </c>
      <c r="B62" s="2">
        <v>41704</v>
      </c>
      <c r="C62">
        <v>6</v>
      </c>
      <c r="D62" t="s">
        <v>82</v>
      </c>
      <c r="E62" t="s">
        <v>83</v>
      </c>
      <c r="F62" t="s">
        <v>84</v>
      </c>
      <c r="G62" t="s">
        <v>85</v>
      </c>
      <c r="H62">
        <v>99999</v>
      </c>
      <c r="I62" t="s">
        <v>30</v>
      </c>
      <c r="J62" t="s">
        <v>86</v>
      </c>
      <c r="K62" t="s">
        <v>61</v>
      </c>
      <c r="L62" s="2">
        <v>41706</v>
      </c>
      <c r="M62" t="s">
        <v>62</v>
      </c>
      <c r="N62" t="s">
        <v>87</v>
      </c>
      <c r="O62" t="s">
        <v>83</v>
      </c>
      <c r="P62" t="s">
        <v>84</v>
      </c>
      <c r="Q62" t="s">
        <v>85</v>
      </c>
      <c r="R62">
        <v>99999</v>
      </c>
      <c r="S62" t="s">
        <v>30</v>
      </c>
      <c r="T62" t="s">
        <v>35</v>
      </c>
      <c r="U62" t="s">
        <v>72</v>
      </c>
      <c r="V62" t="s">
        <v>73</v>
      </c>
      <c r="W62" s="3">
        <v>12.75</v>
      </c>
      <c r="X62">
        <v>16</v>
      </c>
      <c r="Y62" s="4">
        <v>204</v>
      </c>
      <c r="Z62" s="3">
        <v>20.196000000000002</v>
      </c>
    </row>
    <row r="63" spans="1:26" x14ac:dyDescent="0.35">
      <c r="A63">
        <v>1064</v>
      </c>
      <c r="B63" s="2">
        <v>41702</v>
      </c>
      <c r="C63">
        <v>4</v>
      </c>
      <c r="D63" t="s">
        <v>40</v>
      </c>
      <c r="E63" t="s">
        <v>41</v>
      </c>
      <c r="F63" t="s">
        <v>42</v>
      </c>
      <c r="G63" t="s">
        <v>43</v>
      </c>
      <c r="H63">
        <v>99999</v>
      </c>
      <c r="I63" t="s">
        <v>30</v>
      </c>
      <c r="J63" t="s">
        <v>44</v>
      </c>
      <c r="K63" t="s">
        <v>45</v>
      </c>
      <c r="L63" s="2">
        <v>41704</v>
      </c>
      <c r="M63" t="s">
        <v>46</v>
      </c>
      <c r="N63" t="s">
        <v>47</v>
      </c>
      <c r="O63" t="s">
        <v>41</v>
      </c>
      <c r="P63" t="s">
        <v>42</v>
      </c>
      <c r="Q63" t="s">
        <v>43</v>
      </c>
      <c r="R63">
        <v>99999</v>
      </c>
      <c r="S63" t="s">
        <v>30</v>
      </c>
      <c r="T63" t="s">
        <v>48</v>
      </c>
      <c r="U63" t="s">
        <v>149</v>
      </c>
      <c r="V63" t="s">
        <v>110</v>
      </c>
      <c r="W63" s="3">
        <v>81</v>
      </c>
      <c r="X63">
        <v>77</v>
      </c>
      <c r="Y63" s="4">
        <v>6237</v>
      </c>
      <c r="Z63" s="3">
        <v>642.41100000000006</v>
      </c>
    </row>
    <row r="64" spans="1:26" x14ac:dyDescent="0.35">
      <c r="A64">
        <v>1065</v>
      </c>
      <c r="B64" s="2">
        <v>41702</v>
      </c>
      <c r="C64">
        <v>4</v>
      </c>
      <c r="D64" t="s">
        <v>40</v>
      </c>
      <c r="E64" t="s">
        <v>41</v>
      </c>
      <c r="F64" t="s">
        <v>42</v>
      </c>
      <c r="G64" t="s">
        <v>43</v>
      </c>
      <c r="H64">
        <v>99999</v>
      </c>
      <c r="I64" t="s">
        <v>30</v>
      </c>
      <c r="J64" t="s">
        <v>44</v>
      </c>
      <c r="K64" t="s">
        <v>45</v>
      </c>
      <c r="L64" s="2">
        <v>41704</v>
      </c>
      <c r="M64" t="s">
        <v>46</v>
      </c>
      <c r="N64" t="s">
        <v>47</v>
      </c>
      <c r="O64" t="s">
        <v>41</v>
      </c>
      <c r="P64" t="s">
        <v>42</v>
      </c>
      <c r="Q64" t="s">
        <v>43</v>
      </c>
      <c r="R64">
        <v>99999</v>
      </c>
      <c r="S64" t="s">
        <v>30</v>
      </c>
      <c r="T64" t="s">
        <v>48</v>
      </c>
      <c r="U64" t="s">
        <v>150</v>
      </c>
      <c r="V64" t="s">
        <v>151</v>
      </c>
      <c r="W64">
        <v>7</v>
      </c>
      <c r="X64">
        <v>37</v>
      </c>
      <c r="Y64" s="4">
        <v>259</v>
      </c>
      <c r="Z64" s="3">
        <v>24.605</v>
      </c>
    </row>
    <row r="65" spans="1:26" x14ac:dyDescent="0.35">
      <c r="A65">
        <v>1067</v>
      </c>
      <c r="B65" s="2">
        <v>41706</v>
      </c>
      <c r="C65">
        <v>8</v>
      </c>
      <c r="D65" t="s">
        <v>56</v>
      </c>
      <c r="E65" t="s">
        <v>57</v>
      </c>
      <c r="F65" t="s">
        <v>58</v>
      </c>
      <c r="G65" t="s">
        <v>59</v>
      </c>
      <c r="H65">
        <v>99999</v>
      </c>
      <c r="I65" t="s">
        <v>30</v>
      </c>
      <c r="J65" t="s">
        <v>60</v>
      </c>
      <c r="K65" t="s">
        <v>61</v>
      </c>
      <c r="L65" s="2">
        <v>41708</v>
      </c>
      <c r="M65" t="s">
        <v>62</v>
      </c>
      <c r="N65" t="s">
        <v>63</v>
      </c>
      <c r="O65" t="s">
        <v>57</v>
      </c>
      <c r="P65" t="s">
        <v>58</v>
      </c>
      <c r="Q65" t="s">
        <v>59</v>
      </c>
      <c r="R65">
        <v>99999</v>
      </c>
      <c r="S65" t="s">
        <v>30</v>
      </c>
      <c r="T65" t="s">
        <v>48</v>
      </c>
      <c r="U65" t="s">
        <v>133</v>
      </c>
      <c r="V65" t="s">
        <v>134</v>
      </c>
      <c r="W65">
        <v>34.799999999999997</v>
      </c>
      <c r="X65">
        <v>63</v>
      </c>
      <c r="Y65" s="4">
        <v>2192.3999999999996</v>
      </c>
      <c r="Z65" s="3">
        <v>217.04759999999999</v>
      </c>
    </row>
    <row r="66" spans="1:26" x14ac:dyDescent="0.35">
      <c r="A66">
        <v>1070</v>
      </c>
      <c r="B66" s="2">
        <v>41701</v>
      </c>
      <c r="C66">
        <v>3</v>
      </c>
      <c r="D66" t="s">
        <v>74</v>
      </c>
      <c r="E66" t="s">
        <v>75</v>
      </c>
      <c r="F66" t="s">
        <v>76</v>
      </c>
      <c r="G66" t="s">
        <v>77</v>
      </c>
      <c r="H66">
        <v>99999</v>
      </c>
      <c r="I66" t="s">
        <v>30</v>
      </c>
      <c r="J66" t="s">
        <v>31</v>
      </c>
      <c r="K66" t="s">
        <v>32</v>
      </c>
      <c r="L66" s="2">
        <v>41703</v>
      </c>
      <c r="M66" t="s">
        <v>33</v>
      </c>
      <c r="N66" t="s">
        <v>78</v>
      </c>
      <c r="O66" t="s">
        <v>75</v>
      </c>
      <c r="P66" t="s">
        <v>76</v>
      </c>
      <c r="Q66" t="s">
        <v>77</v>
      </c>
      <c r="R66">
        <v>99999</v>
      </c>
      <c r="S66" t="s">
        <v>30</v>
      </c>
      <c r="T66" t="s">
        <v>79</v>
      </c>
      <c r="U66" t="s">
        <v>135</v>
      </c>
      <c r="V66" t="s">
        <v>112</v>
      </c>
      <c r="W66">
        <v>10</v>
      </c>
      <c r="X66">
        <v>48</v>
      </c>
      <c r="Y66" s="4">
        <v>480</v>
      </c>
      <c r="Z66" s="3">
        <v>48</v>
      </c>
    </row>
    <row r="67" spans="1:26" x14ac:dyDescent="0.35">
      <c r="A67">
        <v>1071</v>
      </c>
      <c r="B67" s="2">
        <v>41701</v>
      </c>
      <c r="C67">
        <v>3</v>
      </c>
      <c r="D67" t="s">
        <v>74</v>
      </c>
      <c r="E67" t="s">
        <v>75</v>
      </c>
      <c r="F67" t="s">
        <v>76</v>
      </c>
      <c r="G67" t="s">
        <v>77</v>
      </c>
      <c r="H67">
        <v>99999</v>
      </c>
      <c r="I67" t="s">
        <v>30</v>
      </c>
      <c r="J67" t="s">
        <v>31</v>
      </c>
      <c r="K67" t="s">
        <v>32</v>
      </c>
      <c r="L67" s="2">
        <v>41703</v>
      </c>
      <c r="M67" t="s">
        <v>33</v>
      </c>
      <c r="N67" t="s">
        <v>78</v>
      </c>
      <c r="O67" t="s">
        <v>75</v>
      </c>
      <c r="P67" t="s">
        <v>76</v>
      </c>
      <c r="Q67" t="s">
        <v>77</v>
      </c>
      <c r="R67">
        <v>99999</v>
      </c>
      <c r="S67" t="s">
        <v>30</v>
      </c>
      <c r="T67" t="s">
        <v>79</v>
      </c>
      <c r="U67" t="s">
        <v>88</v>
      </c>
      <c r="V67" t="s">
        <v>89</v>
      </c>
      <c r="W67">
        <v>40</v>
      </c>
      <c r="X67">
        <v>71</v>
      </c>
      <c r="Y67" s="4">
        <v>2840</v>
      </c>
      <c r="Z67" s="3">
        <v>295.36</v>
      </c>
    </row>
    <row r="68" spans="1:26" x14ac:dyDescent="0.35">
      <c r="A68">
        <v>1075</v>
      </c>
      <c r="B68" s="2">
        <v>41708</v>
      </c>
      <c r="C68">
        <v>10</v>
      </c>
      <c r="D68" t="s">
        <v>97</v>
      </c>
      <c r="E68" t="s">
        <v>98</v>
      </c>
      <c r="F68" t="s">
        <v>99</v>
      </c>
      <c r="G68" t="s">
        <v>100</v>
      </c>
      <c r="H68">
        <v>99999</v>
      </c>
      <c r="I68" t="s">
        <v>30</v>
      </c>
      <c r="J68" t="s">
        <v>101</v>
      </c>
      <c r="K68" t="s">
        <v>45</v>
      </c>
      <c r="L68" s="2">
        <v>41710</v>
      </c>
      <c r="M68" t="s">
        <v>33</v>
      </c>
      <c r="N68" t="s">
        <v>102</v>
      </c>
      <c r="O68" t="s">
        <v>98</v>
      </c>
      <c r="P68" t="s">
        <v>99</v>
      </c>
      <c r="Q68" t="s">
        <v>100</v>
      </c>
      <c r="R68">
        <v>99999</v>
      </c>
      <c r="S68" t="s">
        <v>30</v>
      </c>
      <c r="T68" t="s">
        <v>48</v>
      </c>
      <c r="U68" t="s">
        <v>136</v>
      </c>
      <c r="V68" t="s">
        <v>39</v>
      </c>
      <c r="W68">
        <v>10</v>
      </c>
      <c r="X68">
        <v>55</v>
      </c>
      <c r="Y68" s="4">
        <v>550</v>
      </c>
      <c r="Z68" s="3">
        <v>55</v>
      </c>
    </row>
    <row r="69" spans="1:26" x14ac:dyDescent="0.35">
      <c r="A69">
        <v>1077</v>
      </c>
      <c r="B69" s="2">
        <v>41708</v>
      </c>
      <c r="C69">
        <v>10</v>
      </c>
      <c r="D69" t="s">
        <v>97</v>
      </c>
      <c r="E69" t="s">
        <v>98</v>
      </c>
      <c r="F69" t="s">
        <v>99</v>
      </c>
      <c r="G69" t="s">
        <v>100</v>
      </c>
      <c r="H69">
        <v>99999</v>
      </c>
      <c r="I69" t="s">
        <v>30</v>
      </c>
      <c r="J69" t="s">
        <v>101</v>
      </c>
      <c r="K69" t="s">
        <v>45</v>
      </c>
      <c r="L69" s="2"/>
      <c r="M69" t="s">
        <v>46</v>
      </c>
      <c r="N69" t="s">
        <v>102</v>
      </c>
      <c r="O69" t="s">
        <v>98</v>
      </c>
      <c r="P69" t="s">
        <v>99</v>
      </c>
      <c r="Q69" t="s">
        <v>100</v>
      </c>
      <c r="R69">
        <v>99999</v>
      </c>
      <c r="S69" t="s">
        <v>30</v>
      </c>
      <c r="U69" t="s">
        <v>38</v>
      </c>
      <c r="V69" t="s">
        <v>39</v>
      </c>
      <c r="W69">
        <v>3.5</v>
      </c>
      <c r="X69">
        <v>21</v>
      </c>
      <c r="Y69" s="4">
        <v>73.5</v>
      </c>
      <c r="Z69" s="3">
        <v>7.3500000000000005</v>
      </c>
    </row>
    <row r="70" spans="1:26" x14ac:dyDescent="0.35">
      <c r="A70">
        <v>1078</v>
      </c>
      <c r="B70" s="2">
        <v>41709</v>
      </c>
      <c r="C70">
        <v>11</v>
      </c>
      <c r="D70" t="s">
        <v>113</v>
      </c>
      <c r="E70" t="s">
        <v>114</v>
      </c>
      <c r="F70" t="s">
        <v>115</v>
      </c>
      <c r="G70" t="s">
        <v>116</v>
      </c>
      <c r="H70">
        <v>99999</v>
      </c>
      <c r="I70" t="s">
        <v>30</v>
      </c>
      <c r="J70" t="s">
        <v>94</v>
      </c>
      <c r="K70" t="s">
        <v>95</v>
      </c>
      <c r="L70" s="2"/>
      <c r="M70" t="s">
        <v>62</v>
      </c>
      <c r="N70" t="s">
        <v>117</v>
      </c>
      <c r="O70" t="s">
        <v>114</v>
      </c>
      <c r="P70" t="s">
        <v>115</v>
      </c>
      <c r="Q70" t="s">
        <v>116</v>
      </c>
      <c r="R70">
        <v>99999</v>
      </c>
      <c r="S70" t="s">
        <v>30</v>
      </c>
      <c r="U70" t="s">
        <v>88</v>
      </c>
      <c r="V70" t="s">
        <v>89</v>
      </c>
      <c r="W70">
        <v>40</v>
      </c>
      <c r="X70">
        <v>67</v>
      </c>
      <c r="Y70" s="4">
        <v>2680</v>
      </c>
      <c r="Z70" s="3">
        <v>270.68</v>
      </c>
    </row>
    <row r="71" spans="1:26" x14ac:dyDescent="0.35">
      <c r="A71">
        <v>1079</v>
      </c>
      <c r="B71" s="2">
        <v>41699</v>
      </c>
      <c r="C71">
        <v>1</v>
      </c>
      <c r="D71" t="s">
        <v>118</v>
      </c>
      <c r="E71" t="s">
        <v>119</v>
      </c>
      <c r="F71" t="s">
        <v>120</v>
      </c>
      <c r="G71" t="s">
        <v>121</v>
      </c>
      <c r="H71">
        <v>99999</v>
      </c>
      <c r="I71" t="s">
        <v>30</v>
      </c>
      <c r="J71" t="s">
        <v>60</v>
      </c>
      <c r="K71" t="s">
        <v>61</v>
      </c>
      <c r="L71" s="2"/>
      <c r="M71" t="s">
        <v>62</v>
      </c>
      <c r="N71" t="s">
        <v>122</v>
      </c>
      <c r="O71" t="s">
        <v>119</v>
      </c>
      <c r="P71" t="s">
        <v>120</v>
      </c>
      <c r="Q71" t="s">
        <v>121</v>
      </c>
      <c r="R71">
        <v>99999</v>
      </c>
      <c r="S71" t="s">
        <v>30</v>
      </c>
      <c r="U71" t="s">
        <v>123</v>
      </c>
      <c r="V71" t="s">
        <v>124</v>
      </c>
      <c r="W71">
        <v>18.399999999999999</v>
      </c>
      <c r="X71">
        <v>75</v>
      </c>
      <c r="Y71" s="4">
        <v>1380</v>
      </c>
      <c r="Z71" s="3">
        <v>138</v>
      </c>
    </row>
    <row r="72" spans="1:26" x14ac:dyDescent="0.35">
      <c r="A72">
        <v>1080</v>
      </c>
      <c r="B72" s="2">
        <v>41726</v>
      </c>
      <c r="C72">
        <v>28</v>
      </c>
      <c r="D72" t="s">
        <v>90</v>
      </c>
      <c r="E72" t="s">
        <v>91</v>
      </c>
      <c r="F72" t="s">
        <v>92</v>
      </c>
      <c r="G72" t="s">
        <v>93</v>
      </c>
      <c r="H72">
        <v>99999</v>
      </c>
      <c r="I72" t="s">
        <v>30</v>
      </c>
      <c r="J72" t="s">
        <v>94</v>
      </c>
      <c r="K72" t="s">
        <v>95</v>
      </c>
      <c r="L72" s="2">
        <v>41728</v>
      </c>
      <c r="M72" t="s">
        <v>62</v>
      </c>
      <c r="N72" t="s">
        <v>96</v>
      </c>
      <c r="O72" t="s">
        <v>91</v>
      </c>
      <c r="P72" t="s">
        <v>92</v>
      </c>
      <c r="Q72" t="s">
        <v>93</v>
      </c>
      <c r="R72">
        <v>99999</v>
      </c>
      <c r="S72" t="s">
        <v>30</v>
      </c>
      <c r="T72" t="s">
        <v>48</v>
      </c>
      <c r="U72" t="s">
        <v>55</v>
      </c>
      <c r="V72" t="s">
        <v>37</v>
      </c>
      <c r="W72">
        <v>46</v>
      </c>
      <c r="X72">
        <v>17</v>
      </c>
      <c r="Y72" s="4">
        <v>782</v>
      </c>
      <c r="Z72" s="3">
        <v>80.546000000000006</v>
      </c>
    </row>
    <row r="73" spans="1:26" x14ac:dyDescent="0.35">
      <c r="A73">
        <v>1081</v>
      </c>
      <c r="B73" s="2">
        <v>41733</v>
      </c>
      <c r="C73">
        <v>4</v>
      </c>
      <c r="D73" t="s">
        <v>40</v>
      </c>
      <c r="E73" t="s">
        <v>41</v>
      </c>
      <c r="F73" t="s">
        <v>42</v>
      </c>
      <c r="G73" t="s">
        <v>43</v>
      </c>
      <c r="H73">
        <v>99999</v>
      </c>
      <c r="I73" t="s">
        <v>30</v>
      </c>
      <c r="J73" t="s">
        <v>44</v>
      </c>
      <c r="K73" t="s">
        <v>45</v>
      </c>
      <c r="L73" s="2">
        <v>41735</v>
      </c>
      <c r="M73" t="s">
        <v>46</v>
      </c>
      <c r="N73" t="s">
        <v>47</v>
      </c>
      <c r="O73" t="s">
        <v>41</v>
      </c>
      <c r="P73" t="s">
        <v>42</v>
      </c>
      <c r="Q73" t="s">
        <v>43</v>
      </c>
      <c r="R73">
        <v>99999</v>
      </c>
      <c r="S73" t="s">
        <v>30</v>
      </c>
      <c r="T73" t="s">
        <v>48</v>
      </c>
      <c r="U73" t="s">
        <v>38</v>
      </c>
      <c r="V73" t="s">
        <v>39</v>
      </c>
      <c r="W73">
        <v>3.5</v>
      </c>
      <c r="X73">
        <v>48</v>
      </c>
      <c r="Y73" s="4">
        <v>168</v>
      </c>
      <c r="Z73" s="3">
        <v>16.295999999999999</v>
      </c>
    </row>
    <row r="74" spans="1:26" x14ac:dyDescent="0.35">
      <c r="A74">
        <v>1082</v>
      </c>
      <c r="B74" s="2">
        <v>41741</v>
      </c>
      <c r="C74">
        <v>12</v>
      </c>
      <c r="D74" t="s">
        <v>51</v>
      </c>
      <c r="E74" t="s">
        <v>52</v>
      </c>
      <c r="F74" t="s">
        <v>28</v>
      </c>
      <c r="G74" t="s">
        <v>29</v>
      </c>
      <c r="H74">
        <v>99999</v>
      </c>
      <c r="I74" t="s">
        <v>30</v>
      </c>
      <c r="J74" t="s">
        <v>31</v>
      </c>
      <c r="K74" t="s">
        <v>32</v>
      </c>
      <c r="L74" s="2">
        <v>41743</v>
      </c>
      <c r="M74" t="s">
        <v>33</v>
      </c>
      <c r="N74" t="s">
        <v>53</v>
      </c>
      <c r="O74" t="s">
        <v>52</v>
      </c>
      <c r="P74" t="s">
        <v>28</v>
      </c>
      <c r="Q74" t="s">
        <v>29</v>
      </c>
      <c r="R74">
        <v>99999</v>
      </c>
      <c r="S74" t="s">
        <v>30</v>
      </c>
      <c r="T74" t="s">
        <v>48</v>
      </c>
      <c r="U74" t="s">
        <v>54</v>
      </c>
      <c r="V74" t="s">
        <v>37</v>
      </c>
      <c r="W74">
        <v>18</v>
      </c>
      <c r="X74">
        <v>74</v>
      </c>
      <c r="Y74" s="4">
        <v>1332</v>
      </c>
      <c r="Z74" s="3">
        <v>137.19600000000003</v>
      </c>
    </row>
    <row r="75" spans="1:26" x14ac:dyDescent="0.35">
      <c r="A75">
        <v>1083</v>
      </c>
      <c r="B75" s="2">
        <v>41741</v>
      </c>
      <c r="C75">
        <v>12</v>
      </c>
      <c r="D75" t="s">
        <v>51</v>
      </c>
      <c r="E75" t="s">
        <v>52</v>
      </c>
      <c r="F75" t="s">
        <v>28</v>
      </c>
      <c r="G75" t="s">
        <v>29</v>
      </c>
      <c r="H75">
        <v>99999</v>
      </c>
      <c r="I75" t="s">
        <v>30</v>
      </c>
      <c r="J75" t="s">
        <v>31</v>
      </c>
      <c r="K75" t="s">
        <v>32</v>
      </c>
      <c r="L75" s="2">
        <v>41743</v>
      </c>
      <c r="M75" t="s">
        <v>33</v>
      </c>
      <c r="N75" t="s">
        <v>53</v>
      </c>
      <c r="O75" t="s">
        <v>52</v>
      </c>
      <c r="P75" t="s">
        <v>28</v>
      </c>
      <c r="Q75" t="s">
        <v>29</v>
      </c>
      <c r="R75">
        <v>99999</v>
      </c>
      <c r="S75" t="s">
        <v>30</v>
      </c>
      <c r="T75" t="s">
        <v>48</v>
      </c>
      <c r="U75" t="s">
        <v>55</v>
      </c>
      <c r="V75" t="s">
        <v>37</v>
      </c>
      <c r="W75">
        <v>46</v>
      </c>
      <c r="X75">
        <v>96</v>
      </c>
      <c r="Y75" s="4">
        <v>4416</v>
      </c>
      <c r="Z75" s="3">
        <v>428.35200000000003</v>
      </c>
    </row>
    <row r="76" spans="1:26" x14ac:dyDescent="0.35">
      <c r="A76">
        <v>1084</v>
      </c>
      <c r="B76" s="2">
        <v>41737</v>
      </c>
      <c r="C76">
        <v>8</v>
      </c>
      <c r="D76" t="s">
        <v>56</v>
      </c>
      <c r="E76" t="s">
        <v>57</v>
      </c>
      <c r="F76" t="s">
        <v>58</v>
      </c>
      <c r="G76" t="s">
        <v>59</v>
      </c>
      <c r="H76">
        <v>99999</v>
      </c>
      <c r="I76" t="s">
        <v>30</v>
      </c>
      <c r="J76" t="s">
        <v>60</v>
      </c>
      <c r="K76" t="s">
        <v>61</v>
      </c>
      <c r="L76" s="2">
        <v>41739</v>
      </c>
      <c r="M76" t="s">
        <v>62</v>
      </c>
      <c r="N76" t="s">
        <v>63</v>
      </c>
      <c r="O76" t="s">
        <v>57</v>
      </c>
      <c r="P76" t="s">
        <v>58</v>
      </c>
      <c r="Q76" t="s">
        <v>59</v>
      </c>
      <c r="R76">
        <v>99999</v>
      </c>
      <c r="S76" t="s">
        <v>30</v>
      </c>
      <c r="T76" t="s">
        <v>48</v>
      </c>
      <c r="U76" t="s">
        <v>64</v>
      </c>
      <c r="V76" t="s">
        <v>65</v>
      </c>
      <c r="W76">
        <v>9.1999999999999993</v>
      </c>
      <c r="X76">
        <v>12</v>
      </c>
      <c r="Y76" s="4">
        <v>110.39999999999999</v>
      </c>
      <c r="Z76" s="3">
        <v>11.3712</v>
      </c>
    </row>
    <row r="77" spans="1:26" x14ac:dyDescent="0.35">
      <c r="A77">
        <v>1085</v>
      </c>
      <c r="B77" s="2">
        <v>41733</v>
      </c>
      <c r="C77">
        <v>4</v>
      </c>
      <c r="D77" t="s">
        <v>40</v>
      </c>
      <c r="E77" t="s">
        <v>41</v>
      </c>
      <c r="F77" t="s">
        <v>42</v>
      </c>
      <c r="G77" t="s">
        <v>43</v>
      </c>
      <c r="H77">
        <v>99999</v>
      </c>
      <c r="I77" t="s">
        <v>30</v>
      </c>
      <c r="J77" t="s">
        <v>44</v>
      </c>
      <c r="K77" t="s">
        <v>45</v>
      </c>
      <c r="L77">
        <v>41735</v>
      </c>
      <c r="M77" t="s">
        <v>62</v>
      </c>
      <c r="N77" t="s">
        <v>47</v>
      </c>
      <c r="O77" t="s">
        <v>41</v>
      </c>
      <c r="P77" t="s">
        <v>42</v>
      </c>
      <c r="Q77" t="s">
        <v>43</v>
      </c>
      <c r="R77">
        <v>99999</v>
      </c>
      <c r="S77" t="s">
        <v>30</v>
      </c>
      <c r="T77" t="s">
        <v>35</v>
      </c>
      <c r="U77" t="s">
        <v>64</v>
      </c>
      <c r="V77" t="s">
        <v>65</v>
      </c>
      <c r="W77">
        <v>9.1999999999999993</v>
      </c>
      <c r="X77">
        <v>62</v>
      </c>
      <c r="Y77" s="4">
        <v>570.4</v>
      </c>
      <c r="Z77" s="3">
        <v>58.751199999999997</v>
      </c>
    </row>
    <row r="78" spans="1:26" x14ac:dyDescent="0.35">
      <c r="A78">
        <v>1086</v>
      </c>
      <c r="B78" s="2">
        <v>41758</v>
      </c>
      <c r="C78">
        <v>29</v>
      </c>
      <c r="D78" t="s">
        <v>66</v>
      </c>
      <c r="E78" t="s">
        <v>67</v>
      </c>
      <c r="F78" t="s">
        <v>68</v>
      </c>
      <c r="G78" t="s">
        <v>69</v>
      </c>
      <c r="H78">
        <v>99999</v>
      </c>
      <c r="I78" t="s">
        <v>30</v>
      </c>
      <c r="J78" t="s">
        <v>70</v>
      </c>
      <c r="K78" t="s">
        <v>32</v>
      </c>
      <c r="L78">
        <v>41760</v>
      </c>
      <c r="M78" t="s">
        <v>33</v>
      </c>
      <c r="N78" t="s">
        <v>71</v>
      </c>
      <c r="O78" t="s">
        <v>67</v>
      </c>
      <c r="P78" t="s">
        <v>68</v>
      </c>
      <c r="Q78" t="s">
        <v>69</v>
      </c>
      <c r="R78">
        <v>99999</v>
      </c>
      <c r="S78" t="s">
        <v>30</v>
      </c>
      <c r="T78" t="s">
        <v>35</v>
      </c>
      <c r="U78" t="s">
        <v>72</v>
      </c>
      <c r="V78" t="s">
        <v>73</v>
      </c>
      <c r="W78">
        <v>12.75</v>
      </c>
      <c r="X78">
        <v>35</v>
      </c>
      <c r="Y78" s="4">
        <v>446.25</v>
      </c>
      <c r="Z78" s="3">
        <v>45.963750000000005</v>
      </c>
    </row>
    <row r="79" spans="1:26" x14ac:dyDescent="0.35">
      <c r="A79">
        <v>1087</v>
      </c>
      <c r="B79" s="2">
        <v>41732</v>
      </c>
      <c r="C79">
        <v>3</v>
      </c>
      <c r="D79" t="s">
        <v>74</v>
      </c>
      <c r="E79" t="s">
        <v>75</v>
      </c>
      <c r="F79" t="s">
        <v>76</v>
      </c>
      <c r="G79" t="s">
        <v>77</v>
      </c>
      <c r="H79">
        <v>99999</v>
      </c>
      <c r="I79" t="s">
        <v>30</v>
      </c>
      <c r="J79" t="s">
        <v>31</v>
      </c>
      <c r="K79" t="s">
        <v>32</v>
      </c>
      <c r="L79">
        <v>41734</v>
      </c>
      <c r="M79" t="s">
        <v>33</v>
      </c>
      <c r="N79" t="s">
        <v>78</v>
      </c>
      <c r="O79" t="s">
        <v>75</v>
      </c>
      <c r="P79" t="s">
        <v>76</v>
      </c>
      <c r="Q79" t="s">
        <v>77</v>
      </c>
      <c r="R79">
        <v>99999</v>
      </c>
      <c r="S79" t="s">
        <v>30</v>
      </c>
      <c r="T79" t="s">
        <v>79</v>
      </c>
      <c r="U79" t="s">
        <v>80</v>
      </c>
      <c r="V79" t="s">
        <v>81</v>
      </c>
      <c r="W79">
        <v>9.65</v>
      </c>
      <c r="X79">
        <v>95</v>
      </c>
      <c r="Y79" s="4">
        <v>916.75</v>
      </c>
      <c r="Z79" s="3">
        <v>91.675000000000011</v>
      </c>
    </row>
    <row r="80" spans="1:26" x14ac:dyDescent="0.35">
      <c r="A80">
        <v>1088</v>
      </c>
      <c r="B80" s="2">
        <v>41735</v>
      </c>
      <c r="C80">
        <v>6</v>
      </c>
      <c r="D80" t="s">
        <v>82</v>
      </c>
      <c r="E80" t="s">
        <v>83</v>
      </c>
      <c r="F80" t="s">
        <v>84</v>
      </c>
      <c r="G80" t="s">
        <v>85</v>
      </c>
      <c r="H80">
        <v>99999</v>
      </c>
      <c r="I80" t="s">
        <v>30</v>
      </c>
      <c r="J80" t="s">
        <v>86</v>
      </c>
      <c r="K80" t="s">
        <v>61</v>
      </c>
      <c r="L80">
        <v>41737</v>
      </c>
      <c r="M80" t="s">
        <v>33</v>
      </c>
      <c r="N80" t="s">
        <v>87</v>
      </c>
      <c r="O80" t="s">
        <v>83</v>
      </c>
      <c r="P80" t="s">
        <v>84</v>
      </c>
      <c r="Q80" t="s">
        <v>85</v>
      </c>
      <c r="R80">
        <v>99999</v>
      </c>
      <c r="S80" t="s">
        <v>30</v>
      </c>
      <c r="T80" t="s">
        <v>48</v>
      </c>
      <c r="U80" t="s">
        <v>88</v>
      </c>
      <c r="V80" t="s">
        <v>89</v>
      </c>
      <c r="W80">
        <v>40</v>
      </c>
      <c r="X80">
        <v>17</v>
      </c>
      <c r="Y80" s="4">
        <v>680</v>
      </c>
      <c r="Z80" s="3">
        <v>68.680000000000007</v>
      </c>
    </row>
    <row r="81" spans="1:26" x14ac:dyDescent="0.35">
      <c r="A81">
        <v>1089</v>
      </c>
      <c r="B81" s="2">
        <v>41757</v>
      </c>
      <c r="C81">
        <v>28</v>
      </c>
      <c r="D81" t="s">
        <v>90</v>
      </c>
      <c r="E81" t="s">
        <v>91</v>
      </c>
      <c r="F81" t="s">
        <v>92</v>
      </c>
      <c r="G81" t="s">
        <v>93</v>
      </c>
      <c r="H81">
        <v>99999</v>
      </c>
      <c r="I81" t="s">
        <v>30</v>
      </c>
      <c r="J81" t="s">
        <v>94</v>
      </c>
      <c r="K81" t="s">
        <v>95</v>
      </c>
      <c r="L81" s="2">
        <v>41759</v>
      </c>
      <c r="M81" t="s">
        <v>62</v>
      </c>
      <c r="N81" t="s">
        <v>96</v>
      </c>
      <c r="O81" t="s">
        <v>91</v>
      </c>
      <c r="P81" t="s">
        <v>92</v>
      </c>
      <c r="Q81" t="s">
        <v>93</v>
      </c>
      <c r="R81">
        <v>99999</v>
      </c>
      <c r="S81" t="s">
        <v>30</v>
      </c>
      <c r="T81" t="s">
        <v>35</v>
      </c>
      <c r="U81" t="s">
        <v>55</v>
      </c>
      <c r="V81" t="s">
        <v>37</v>
      </c>
      <c r="W81">
        <v>46</v>
      </c>
      <c r="X81">
        <v>96</v>
      </c>
      <c r="Y81" s="4">
        <v>4416</v>
      </c>
      <c r="Z81" s="3">
        <v>463.68000000000006</v>
      </c>
    </row>
    <row r="82" spans="1:26" x14ac:dyDescent="0.35">
      <c r="A82">
        <v>1090</v>
      </c>
      <c r="B82" s="2">
        <v>41737</v>
      </c>
      <c r="C82">
        <v>8</v>
      </c>
      <c r="D82" t="s">
        <v>56</v>
      </c>
      <c r="E82" t="s">
        <v>57</v>
      </c>
      <c r="F82" t="s">
        <v>58</v>
      </c>
      <c r="G82" t="s">
        <v>59</v>
      </c>
      <c r="H82">
        <v>99999</v>
      </c>
      <c r="I82" t="s">
        <v>30</v>
      </c>
      <c r="J82" t="s">
        <v>60</v>
      </c>
      <c r="K82" t="s">
        <v>61</v>
      </c>
      <c r="L82" s="2">
        <v>41739</v>
      </c>
      <c r="M82" t="s">
        <v>62</v>
      </c>
      <c r="N82" t="s">
        <v>63</v>
      </c>
      <c r="O82" t="s">
        <v>57</v>
      </c>
      <c r="P82" t="s">
        <v>58</v>
      </c>
      <c r="Q82" t="s">
        <v>59</v>
      </c>
      <c r="R82">
        <v>99999</v>
      </c>
      <c r="S82" t="s">
        <v>30</v>
      </c>
      <c r="T82" t="s">
        <v>35</v>
      </c>
      <c r="U82" t="s">
        <v>72</v>
      </c>
      <c r="V82" t="s">
        <v>73</v>
      </c>
      <c r="W82" s="3">
        <v>12.75</v>
      </c>
      <c r="X82">
        <v>83</v>
      </c>
      <c r="Y82" s="4">
        <v>1058.25</v>
      </c>
      <c r="Z82" s="3">
        <v>102.65025</v>
      </c>
    </row>
    <row r="83" spans="1:26" x14ac:dyDescent="0.35">
      <c r="A83">
        <v>1091</v>
      </c>
      <c r="B83" s="2">
        <v>41739</v>
      </c>
      <c r="C83">
        <v>10</v>
      </c>
      <c r="D83" t="s">
        <v>97</v>
      </c>
      <c r="E83" t="s">
        <v>98</v>
      </c>
      <c r="F83" t="s">
        <v>99</v>
      </c>
      <c r="G83" t="s">
        <v>100</v>
      </c>
      <c r="H83">
        <v>99999</v>
      </c>
      <c r="I83" t="s">
        <v>30</v>
      </c>
      <c r="J83" t="s">
        <v>101</v>
      </c>
      <c r="K83" t="s">
        <v>45</v>
      </c>
      <c r="L83" s="2">
        <v>41741</v>
      </c>
      <c r="M83" t="s">
        <v>33</v>
      </c>
      <c r="N83" t="s">
        <v>102</v>
      </c>
      <c r="O83" t="s">
        <v>98</v>
      </c>
      <c r="P83" t="s">
        <v>99</v>
      </c>
      <c r="Q83" t="s">
        <v>100</v>
      </c>
      <c r="R83">
        <v>99999</v>
      </c>
      <c r="S83" t="s">
        <v>30</v>
      </c>
      <c r="T83" t="s">
        <v>48</v>
      </c>
      <c r="U83" t="s">
        <v>103</v>
      </c>
      <c r="V83" t="s">
        <v>37</v>
      </c>
      <c r="W83" s="3">
        <v>2.99</v>
      </c>
      <c r="X83">
        <v>88</v>
      </c>
      <c r="Y83" s="4">
        <v>263.12</v>
      </c>
      <c r="Z83" s="3">
        <v>26.04888</v>
      </c>
    </row>
    <row r="84" spans="1:26" x14ac:dyDescent="0.35">
      <c r="A84">
        <v>1092</v>
      </c>
      <c r="B84" s="2">
        <v>41736</v>
      </c>
      <c r="C84">
        <v>7</v>
      </c>
      <c r="D84" t="s">
        <v>104</v>
      </c>
      <c r="E84" t="s">
        <v>105</v>
      </c>
      <c r="F84" t="s">
        <v>106</v>
      </c>
      <c r="G84" t="s">
        <v>107</v>
      </c>
      <c r="H84">
        <v>99999</v>
      </c>
      <c r="I84" t="s">
        <v>30</v>
      </c>
      <c r="J84" t="s">
        <v>60</v>
      </c>
      <c r="K84" t="s">
        <v>61</v>
      </c>
      <c r="L84" s="2"/>
      <c r="N84" t="s">
        <v>108</v>
      </c>
      <c r="O84" t="s">
        <v>105</v>
      </c>
      <c r="P84" t="s">
        <v>106</v>
      </c>
      <c r="Q84" t="s">
        <v>107</v>
      </c>
      <c r="R84">
        <v>99999</v>
      </c>
      <c r="S84" t="s">
        <v>30</v>
      </c>
      <c r="U84" t="s">
        <v>55</v>
      </c>
      <c r="V84" t="s">
        <v>37</v>
      </c>
      <c r="W84" s="3">
        <v>46</v>
      </c>
      <c r="X84">
        <v>59</v>
      </c>
      <c r="Y84" s="4">
        <v>2714</v>
      </c>
      <c r="Z84" s="3">
        <v>284.97000000000003</v>
      </c>
    </row>
    <row r="85" spans="1:26" x14ac:dyDescent="0.35">
      <c r="A85">
        <v>1093</v>
      </c>
      <c r="B85" s="2">
        <v>41739</v>
      </c>
      <c r="C85">
        <v>10</v>
      </c>
      <c r="D85" t="s">
        <v>97</v>
      </c>
      <c r="E85" t="s">
        <v>98</v>
      </c>
      <c r="F85" t="s">
        <v>99</v>
      </c>
      <c r="G85" t="s">
        <v>100</v>
      </c>
      <c r="H85">
        <v>99999</v>
      </c>
      <c r="I85" t="s">
        <v>30</v>
      </c>
      <c r="J85" t="s">
        <v>101</v>
      </c>
      <c r="K85" t="s">
        <v>45</v>
      </c>
      <c r="L85" s="2">
        <v>41741</v>
      </c>
      <c r="M85" t="s">
        <v>46</v>
      </c>
      <c r="N85" t="s">
        <v>102</v>
      </c>
      <c r="O85" t="s">
        <v>98</v>
      </c>
      <c r="P85" t="s">
        <v>99</v>
      </c>
      <c r="Q85" t="s">
        <v>100</v>
      </c>
      <c r="R85">
        <v>99999</v>
      </c>
      <c r="S85" t="s">
        <v>30</v>
      </c>
      <c r="U85" t="s">
        <v>109</v>
      </c>
      <c r="V85" t="s">
        <v>110</v>
      </c>
      <c r="W85" s="3">
        <v>25</v>
      </c>
      <c r="X85">
        <v>27</v>
      </c>
      <c r="Y85" s="4">
        <v>675</v>
      </c>
      <c r="Z85" s="3">
        <v>68.849999999999994</v>
      </c>
    </row>
    <row r="86" spans="1:26" x14ac:dyDescent="0.35">
      <c r="A86">
        <v>1094</v>
      </c>
      <c r="B86" s="2">
        <v>41739</v>
      </c>
      <c r="C86">
        <v>10</v>
      </c>
      <c r="D86" t="s">
        <v>97</v>
      </c>
      <c r="E86" t="s">
        <v>98</v>
      </c>
      <c r="F86" t="s">
        <v>99</v>
      </c>
      <c r="G86" t="s">
        <v>100</v>
      </c>
      <c r="H86">
        <v>99999</v>
      </c>
      <c r="I86" t="s">
        <v>30</v>
      </c>
      <c r="J86" t="s">
        <v>101</v>
      </c>
      <c r="K86" t="s">
        <v>45</v>
      </c>
      <c r="L86" s="2">
        <v>41741</v>
      </c>
      <c r="M86" t="s">
        <v>46</v>
      </c>
      <c r="N86" t="s">
        <v>102</v>
      </c>
      <c r="O86" t="s">
        <v>98</v>
      </c>
      <c r="P86" t="s">
        <v>99</v>
      </c>
      <c r="Q86" t="s">
        <v>100</v>
      </c>
      <c r="R86">
        <v>99999</v>
      </c>
      <c r="S86" t="s">
        <v>30</v>
      </c>
      <c r="U86" t="s">
        <v>111</v>
      </c>
      <c r="V86" t="s">
        <v>112</v>
      </c>
      <c r="W86" s="3">
        <v>22</v>
      </c>
      <c r="X86">
        <v>37</v>
      </c>
      <c r="Y86" s="4">
        <v>814</v>
      </c>
      <c r="Z86" s="3">
        <v>85.470000000000013</v>
      </c>
    </row>
    <row r="87" spans="1:26" x14ac:dyDescent="0.35">
      <c r="A87">
        <v>1095</v>
      </c>
      <c r="B87" s="2">
        <v>41739</v>
      </c>
      <c r="C87">
        <v>10</v>
      </c>
      <c r="D87" t="s">
        <v>97</v>
      </c>
      <c r="E87" t="s">
        <v>98</v>
      </c>
      <c r="F87" t="s">
        <v>99</v>
      </c>
      <c r="G87" t="s">
        <v>100</v>
      </c>
      <c r="H87">
        <v>99999</v>
      </c>
      <c r="I87" t="s">
        <v>30</v>
      </c>
      <c r="J87" t="s">
        <v>101</v>
      </c>
      <c r="K87" t="s">
        <v>45</v>
      </c>
      <c r="L87" s="2">
        <v>41741</v>
      </c>
      <c r="M87" t="s">
        <v>46</v>
      </c>
      <c r="N87" t="s">
        <v>102</v>
      </c>
      <c r="O87" t="s">
        <v>98</v>
      </c>
      <c r="P87" t="s">
        <v>99</v>
      </c>
      <c r="Q87" t="s">
        <v>100</v>
      </c>
      <c r="R87">
        <v>99999</v>
      </c>
      <c r="S87" t="s">
        <v>30</v>
      </c>
      <c r="U87" t="s">
        <v>64</v>
      </c>
      <c r="V87" t="s">
        <v>65</v>
      </c>
      <c r="W87" s="3">
        <v>9.1999999999999993</v>
      </c>
      <c r="X87">
        <v>75</v>
      </c>
      <c r="Y87" s="4">
        <v>690</v>
      </c>
      <c r="Z87" s="3">
        <v>69</v>
      </c>
    </row>
    <row r="88" spans="1:26" x14ac:dyDescent="0.35">
      <c r="A88">
        <v>1096</v>
      </c>
      <c r="B88" s="2">
        <v>41740</v>
      </c>
      <c r="C88">
        <v>11</v>
      </c>
      <c r="D88" t="s">
        <v>113</v>
      </c>
      <c r="E88" t="s">
        <v>114</v>
      </c>
      <c r="F88" t="s">
        <v>115</v>
      </c>
      <c r="G88" t="s">
        <v>116</v>
      </c>
      <c r="H88">
        <v>99999</v>
      </c>
      <c r="I88" t="s">
        <v>30</v>
      </c>
      <c r="J88" t="s">
        <v>94</v>
      </c>
      <c r="K88" t="s">
        <v>95</v>
      </c>
      <c r="L88" s="2"/>
      <c r="M88" t="s">
        <v>62</v>
      </c>
      <c r="N88" t="s">
        <v>117</v>
      </c>
      <c r="O88" t="s">
        <v>114</v>
      </c>
      <c r="P88" t="s">
        <v>115</v>
      </c>
      <c r="Q88" t="s">
        <v>116</v>
      </c>
      <c r="R88">
        <v>99999</v>
      </c>
      <c r="S88" t="s">
        <v>30</v>
      </c>
      <c r="U88" t="s">
        <v>38</v>
      </c>
      <c r="V88" t="s">
        <v>39</v>
      </c>
      <c r="W88" s="3">
        <v>3.5</v>
      </c>
      <c r="X88">
        <v>71</v>
      </c>
      <c r="Y88" s="4">
        <v>248.5</v>
      </c>
      <c r="Z88" s="3">
        <v>24.104500000000002</v>
      </c>
    </row>
    <row r="89" spans="1:26" x14ac:dyDescent="0.35">
      <c r="A89">
        <v>1097</v>
      </c>
      <c r="B89" s="2">
        <v>41740</v>
      </c>
      <c r="C89">
        <v>11</v>
      </c>
      <c r="D89" t="s">
        <v>113</v>
      </c>
      <c r="E89" t="s">
        <v>114</v>
      </c>
      <c r="F89" t="s">
        <v>115</v>
      </c>
      <c r="G89" t="s">
        <v>116</v>
      </c>
      <c r="H89">
        <v>99999</v>
      </c>
      <c r="I89" t="s">
        <v>30</v>
      </c>
      <c r="J89" t="s">
        <v>94</v>
      </c>
      <c r="K89" t="s">
        <v>95</v>
      </c>
      <c r="L89" s="2"/>
      <c r="M89" t="s">
        <v>62</v>
      </c>
      <c r="N89" t="s">
        <v>117</v>
      </c>
      <c r="O89" t="s">
        <v>114</v>
      </c>
      <c r="P89" t="s">
        <v>115</v>
      </c>
      <c r="Q89" t="s">
        <v>116</v>
      </c>
      <c r="R89">
        <v>99999</v>
      </c>
      <c r="S89" t="s">
        <v>30</v>
      </c>
      <c r="U89" t="s">
        <v>103</v>
      </c>
      <c r="V89" t="s">
        <v>37</v>
      </c>
      <c r="W89" s="3">
        <v>2.99</v>
      </c>
      <c r="X89">
        <v>88</v>
      </c>
      <c r="Y89" s="4">
        <v>263.12</v>
      </c>
      <c r="Z89" s="3">
        <v>26.04888</v>
      </c>
    </row>
    <row r="90" spans="1:26" x14ac:dyDescent="0.35">
      <c r="A90">
        <v>1098</v>
      </c>
      <c r="B90" s="2">
        <v>41730</v>
      </c>
      <c r="C90">
        <v>1</v>
      </c>
      <c r="D90" t="s">
        <v>118</v>
      </c>
      <c r="E90" t="s">
        <v>119</v>
      </c>
      <c r="F90" t="s">
        <v>120</v>
      </c>
      <c r="G90" t="s">
        <v>121</v>
      </c>
      <c r="H90">
        <v>99999</v>
      </c>
      <c r="I90" t="s">
        <v>30</v>
      </c>
      <c r="J90" t="s">
        <v>60</v>
      </c>
      <c r="K90" t="s">
        <v>61</v>
      </c>
      <c r="L90" s="2"/>
      <c r="N90" t="s">
        <v>122</v>
      </c>
      <c r="O90" t="s">
        <v>119</v>
      </c>
      <c r="P90" t="s">
        <v>120</v>
      </c>
      <c r="Q90" t="s">
        <v>121</v>
      </c>
      <c r="R90">
        <v>99999</v>
      </c>
      <c r="S90" t="s">
        <v>30</v>
      </c>
      <c r="U90" t="s">
        <v>54</v>
      </c>
      <c r="V90" t="s">
        <v>37</v>
      </c>
      <c r="W90" s="3">
        <v>18</v>
      </c>
      <c r="X90">
        <v>55</v>
      </c>
      <c r="Y90" s="4">
        <v>990</v>
      </c>
      <c r="Z90" s="3">
        <v>97.02</v>
      </c>
    </row>
    <row r="91" spans="1:26" x14ac:dyDescent="0.35">
      <c r="A91">
        <v>1099</v>
      </c>
      <c r="B91" s="2">
        <v>41788</v>
      </c>
      <c r="C91">
        <v>29</v>
      </c>
      <c r="D91" t="s">
        <v>66</v>
      </c>
      <c r="E91" t="s">
        <v>67</v>
      </c>
      <c r="F91" t="s">
        <v>68</v>
      </c>
      <c r="G91" t="s">
        <v>69</v>
      </c>
      <c r="H91">
        <v>99999</v>
      </c>
      <c r="I91" t="s">
        <v>30</v>
      </c>
      <c r="J91" t="s">
        <v>70</v>
      </c>
      <c r="K91" t="s">
        <v>32</v>
      </c>
      <c r="L91" s="2">
        <v>41790</v>
      </c>
      <c r="M91" t="s">
        <v>33</v>
      </c>
      <c r="N91" t="s">
        <v>71</v>
      </c>
      <c r="O91" t="s">
        <v>67</v>
      </c>
      <c r="P91" t="s">
        <v>68</v>
      </c>
      <c r="Q91" t="s">
        <v>69</v>
      </c>
      <c r="R91">
        <v>99999</v>
      </c>
      <c r="S91" t="s">
        <v>30</v>
      </c>
      <c r="T91" t="s">
        <v>35</v>
      </c>
      <c r="U91" t="s">
        <v>72</v>
      </c>
      <c r="V91" t="s">
        <v>73</v>
      </c>
      <c r="W91" s="3">
        <v>12.75</v>
      </c>
      <c r="X91">
        <v>14</v>
      </c>
      <c r="Y91" s="4">
        <v>178.5</v>
      </c>
      <c r="Z91" s="3">
        <v>16.9575</v>
      </c>
    </row>
    <row r="92" spans="1:26" x14ac:dyDescent="0.35">
      <c r="A92">
        <v>1100</v>
      </c>
      <c r="B92" s="2">
        <v>41762</v>
      </c>
      <c r="C92">
        <v>3</v>
      </c>
      <c r="D92" t="s">
        <v>74</v>
      </c>
      <c r="E92" t="s">
        <v>75</v>
      </c>
      <c r="F92" t="s">
        <v>76</v>
      </c>
      <c r="G92" t="s">
        <v>77</v>
      </c>
      <c r="H92">
        <v>99999</v>
      </c>
      <c r="I92" t="s">
        <v>30</v>
      </c>
      <c r="J92" t="s">
        <v>31</v>
      </c>
      <c r="K92" t="s">
        <v>32</v>
      </c>
      <c r="L92" s="2">
        <v>41764</v>
      </c>
      <c r="M92" t="s">
        <v>33</v>
      </c>
      <c r="N92" t="s">
        <v>78</v>
      </c>
      <c r="O92" t="s">
        <v>75</v>
      </c>
      <c r="P92" t="s">
        <v>76</v>
      </c>
      <c r="Q92" t="s">
        <v>77</v>
      </c>
      <c r="R92">
        <v>99999</v>
      </c>
      <c r="S92" t="s">
        <v>30</v>
      </c>
      <c r="T92" t="s">
        <v>79</v>
      </c>
      <c r="U92" t="s">
        <v>80</v>
      </c>
      <c r="V92" t="s">
        <v>81</v>
      </c>
      <c r="W92" s="3">
        <v>9.65</v>
      </c>
      <c r="X92">
        <v>43</v>
      </c>
      <c r="Y92" s="4">
        <v>414.95</v>
      </c>
      <c r="Z92" s="3">
        <v>42.324900000000007</v>
      </c>
    </row>
    <row r="93" spans="1:26" x14ac:dyDescent="0.35">
      <c r="A93">
        <v>1101</v>
      </c>
      <c r="B93" s="2">
        <v>41765</v>
      </c>
      <c r="C93">
        <v>6</v>
      </c>
      <c r="D93" t="s">
        <v>82</v>
      </c>
      <c r="E93" t="s">
        <v>83</v>
      </c>
      <c r="F93" t="s">
        <v>84</v>
      </c>
      <c r="G93" t="s">
        <v>85</v>
      </c>
      <c r="H93">
        <v>99999</v>
      </c>
      <c r="I93" t="s">
        <v>30</v>
      </c>
      <c r="J93" t="s">
        <v>86</v>
      </c>
      <c r="K93" t="s">
        <v>61</v>
      </c>
      <c r="L93">
        <v>41767</v>
      </c>
      <c r="M93" t="s">
        <v>33</v>
      </c>
      <c r="N93" t="s">
        <v>87</v>
      </c>
      <c r="O93" t="s">
        <v>83</v>
      </c>
      <c r="P93" t="s">
        <v>84</v>
      </c>
      <c r="Q93" t="s">
        <v>85</v>
      </c>
      <c r="R93">
        <v>99999</v>
      </c>
      <c r="S93" t="s">
        <v>30</v>
      </c>
      <c r="T93" t="s">
        <v>48</v>
      </c>
      <c r="U93" t="s">
        <v>88</v>
      </c>
      <c r="V93" t="s">
        <v>89</v>
      </c>
      <c r="W93" s="3">
        <v>40</v>
      </c>
      <c r="X93">
        <v>63</v>
      </c>
      <c r="Y93" s="4">
        <v>2520</v>
      </c>
      <c r="Z93" s="3">
        <v>254.52</v>
      </c>
    </row>
    <row r="94" spans="1:26" x14ac:dyDescent="0.35">
      <c r="A94">
        <v>1102</v>
      </c>
      <c r="B94" s="2">
        <v>41787</v>
      </c>
      <c r="C94">
        <v>28</v>
      </c>
      <c r="D94" t="s">
        <v>90</v>
      </c>
      <c r="E94" t="s">
        <v>91</v>
      </c>
      <c r="F94" t="s">
        <v>92</v>
      </c>
      <c r="G94" t="s">
        <v>93</v>
      </c>
      <c r="H94">
        <v>99999</v>
      </c>
      <c r="I94" t="s">
        <v>30</v>
      </c>
      <c r="J94" t="s">
        <v>94</v>
      </c>
      <c r="K94" t="s">
        <v>95</v>
      </c>
      <c r="L94" s="2">
        <v>41789</v>
      </c>
      <c r="M94" t="s">
        <v>62</v>
      </c>
      <c r="N94" t="s">
        <v>96</v>
      </c>
      <c r="O94" t="s">
        <v>91</v>
      </c>
      <c r="P94" t="s">
        <v>92</v>
      </c>
      <c r="Q94" t="s">
        <v>93</v>
      </c>
      <c r="R94">
        <v>99999</v>
      </c>
      <c r="S94" t="s">
        <v>30</v>
      </c>
      <c r="T94" t="s">
        <v>35</v>
      </c>
      <c r="U94" t="s">
        <v>55</v>
      </c>
      <c r="V94" t="s">
        <v>37</v>
      </c>
      <c r="W94" s="3">
        <v>46</v>
      </c>
      <c r="X94">
        <v>36</v>
      </c>
      <c r="Y94" s="4">
        <v>1656</v>
      </c>
      <c r="Z94" s="3">
        <v>165.60000000000002</v>
      </c>
    </row>
    <row r="95" spans="1:26" x14ac:dyDescent="0.35">
      <c r="A95">
        <v>1103</v>
      </c>
      <c r="B95" s="2">
        <v>41767</v>
      </c>
      <c r="C95">
        <v>8</v>
      </c>
      <c r="D95" t="s">
        <v>56</v>
      </c>
      <c r="E95" t="s">
        <v>57</v>
      </c>
      <c r="F95" t="s">
        <v>58</v>
      </c>
      <c r="G95" t="s">
        <v>59</v>
      </c>
      <c r="H95">
        <v>99999</v>
      </c>
      <c r="I95" t="s">
        <v>30</v>
      </c>
      <c r="J95" t="s">
        <v>60</v>
      </c>
      <c r="K95" t="s">
        <v>61</v>
      </c>
      <c r="L95" s="2">
        <v>41769</v>
      </c>
      <c r="M95" t="s">
        <v>62</v>
      </c>
      <c r="N95" t="s">
        <v>63</v>
      </c>
      <c r="O95" t="s">
        <v>57</v>
      </c>
      <c r="P95" t="s">
        <v>58</v>
      </c>
      <c r="Q95" t="s">
        <v>59</v>
      </c>
      <c r="R95">
        <v>99999</v>
      </c>
      <c r="S95" t="s">
        <v>30</v>
      </c>
      <c r="T95" t="s">
        <v>35</v>
      </c>
      <c r="U95" t="s">
        <v>72</v>
      </c>
      <c r="V95" t="s">
        <v>73</v>
      </c>
      <c r="W95" s="3">
        <v>12.75</v>
      </c>
      <c r="X95">
        <v>41</v>
      </c>
      <c r="Y95" s="4">
        <v>522.75</v>
      </c>
      <c r="Z95" s="3">
        <v>54.366000000000007</v>
      </c>
    </row>
    <row r="96" spans="1:26" x14ac:dyDescent="0.35">
      <c r="A96">
        <v>1104</v>
      </c>
      <c r="B96" s="2">
        <v>41769</v>
      </c>
      <c r="C96">
        <v>10</v>
      </c>
      <c r="D96" t="s">
        <v>97</v>
      </c>
      <c r="E96" t="s">
        <v>98</v>
      </c>
      <c r="F96" t="s">
        <v>99</v>
      </c>
      <c r="G96" t="s">
        <v>100</v>
      </c>
      <c r="H96">
        <v>99999</v>
      </c>
      <c r="I96" t="s">
        <v>30</v>
      </c>
      <c r="J96" t="s">
        <v>101</v>
      </c>
      <c r="K96" t="s">
        <v>45</v>
      </c>
      <c r="L96" s="2">
        <v>41771</v>
      </c>
      <c r="M96" t="s">
        <v>33</v>
      </c>
      <c r="N96" t="s">
        <v>102</v>
      </c>
      <c r="O96" t="s">
        <v>98</v>
      </c>
      <c r="P96" t="s">
        <v>99</v>
      </c>
      <c r="Q96" t="s">
        <v>100</v>
      </c>
      <c r="R96">
        <v>99999</v>
      </c>
      <c r="S96" t="s">
        <v>30</v>
      </c>
      <c r="T96" t="s">
        <v>48</v>
      </c>
      <c r="U96" t="s">
        <v>103</v>
      </c>
      <c r="V96" t="s">
        <v>37</v>
      </c>
      <c r="W96" s="3">
        <v>2.99</v>
      </c>
      <c r="X96">
        <v>35</v>
      </c>
      <c r="Y96" s="4">
        <v>104.65</v>
      </c>
      <c r="Z96" s="3">
        <v>10.255700000000001</v>
      </c>
    </row>
    <row r="97" spans="1:26" x14ac:dyDescent="0.35">
      <c r="A97">
        <v>1105</v>
      </c>
      <c r="B97" s="2">
        <v>41766</v>
      </c>
      <c r="C97">
        <v>7</v>
      </c>
      <c r="D97" t="s">
        <v>104</v>
      </c>
      <c r="E97" t="s">
        <v>105</v>
      </c>
      <c r="F97" t="s">
        <v>106</v>
      </c>
      <c r="G97" t="s">
        <v>107</v>
      </c>
      <c r="H97">
        <v>99999</v>
      </c>
      <c r="I97" t="s">
        <v>30</v>
      </c>
      <c r="J97" t="s">
        <v>60</v>
      </c>
      <c r="K97" t="s">
        <v>61</v>
      </c>
      <c r="N97" t="s">
        <v>108</v>
      </c>
      <c r="O97" t="s">
        <v>105</v>
      </c>
      <c r="P97" t="s">
        <v>106</v>
      </c>
      <c r="Q97" t="s">
        <v>107</v>
      </c>
      <c r="R97">
        <v>99999</v>
      </c>
      <c r="S97" t="s">
        <v>30</v>
      </c>
      <c r="U97" t="s">
        <v>55</v>
      </c>
      <c r="V97" t="s">
        <v>37</v>
      </c>
      <c r="W97" s="3">
        <v>46</v>
      </c>
      <c r="X97">
        <v>31</v>
      </c>
      <c r="Y97" s="4">
        <v>1426</v>
      </c>
      <c r="Z97" s="3">
        <v>136.89599999999999</v>
      </c>
    </row>
    <row r="98" spans="1:26" x14ac:dyDescent="0.35">
      <c r="A98">
        <v>1106</v>
      </c>
      <c r="B98" s="2">
        <v>41769</v>
      </c>
      <c r="C98">
        <v>10</v>
      </c>
      <c r="D98" t="s">
        <v>97</v>
      </c>
      <c r="E98" t="s">
        <v>98</v>
      </c>
      <c r="F98" t="s">
        <v>99</v>
      </c>
      <c r="G98" t="s">
        <v>100</v>
      </c>
      <c r="H98">
        <v>99999</v>
      </c>
      <c r="I98" t="s">
        <v>30</v>
      </c>
      <c r="J98" t="s">
        <v>101</v>
      </c>
      <c r="K98" t="s">
        <v>45</v>
      </c>
      <c r="L98">
        <v>41771</v>
      </c>
      <c r="M98" t="s">
        <v>46</v>
      </c>
      <c r="N98" t="s">
        <v>102</v>
      </c>
      <c r="O98" t="s">
        <v>98</v>
      </c>
      <c r="P98" t="s">
        <v>99</v>
      </c>
      <c r="Q98" t="s">
        <v>100</v>
      </c>
      <c r="R98">
        <v>99999</v>
      </c>
      <c r="S98" t="s">
        <v>30</v>
      </c>
      <c r="U98" t="s">
        <v>109</v>
      </c>
      <c r="V98" t="s">
        <v>110</v>
      </c>
      <c r="W98" s="3">
        <v>25</v>
      </c>
      <c r="X98">
        <v>52</v>
      </c>
      <c r="Y98" s="4">
        <v>1300</v>
      </c>
      <c r="Z98" s="3">
        <v>123.5</v>
      </c>
    </row>
    <row r="99" spans="1:26" x14ac:dyDescent="0.35">
      <c r="A99">
        <v>1107</v>
      </c>
      <c r="B99" s="2">
        <v>41769</v>
      </c>
      <c r="C99">
        <v>10</v>
      </c>
      <c r="D99" t="s">
        <v>97</v>
      </c>
      <c r="E99" t="s">
        <v>98</v>
      </c>
      <c r="F99" t="s">
        <v>99</v>
      </c>
      <c r="G99" t="s">
        <v>100</v>
      </c>
      <c r="H99">
        <v>99999</v>
      </c>
      <c r="I99" t="s">
        <v>30</v>
      </c>
      <c r="J99" t="s">
        <v>101</v>
      </c>
      <c r="K99" t="s">
        <v>45</v>
      </c>
      <c r="L99">
        <v>41771</v>
      </c>
      <c r="M99" t="s">
        <v>46</v>
      </c>
      <c r="N99" t="s">
        <v>102</v>
      </c>
      <c r="O99" t="s">
        <v>98</v>
      </c>
      <c r="P99" t="s">
        <v>99</v>
      </c>
      <c r="Q99" t="s">
        <v>100</v>
      </c>
      <c r="R99">
        <v>99999</v>
      </c>
      <c r="S99" t="s">
        <v>30</v>
      </c>
      <c r="U99" t="s">
        <v>111</v>
      </c>
      <c r="V99" t="s">
        <v>112</v>
      </c>
      <c r="W99" s="3">
        <v>22</v>
      </c>
      <c r="X99">
        <v>30</v>
      </c>
      <c r="Y99" s="4">
        <v>660</v>
      </c>
      <c r="Z99" s="3">
        <v>67.320000000000007</v>
      </c>
    </row>
    <row r="100" spans="1:26" x14ac:dyDescent="0.35">
      <c r="A100">
        <v>1108</v>
      </c>
      <c r="B100" s="2">
        <v>41769</v>
      </c>
      <c r="C100">
        <v>10</v>
      </c>
      <c r="D100" t="s">
        <v>97</v>
      </c>
      <c r="E100" t="s">
        <v>98</v>
      </c>
      <c r="F100" t="s">
        <v>99</v>
      </c>
      <c r="G100" t="s">
        <v>100</v>
      </c>
      <c r="H100">
        <v>99999</v>
      </c>
      <c r="I100" t="s">
        <v>30</v>
      </c>
      <c r="J100" t="s">
        <v>101</v>
      </c>
      <c r="K100" t="s">
        <v>45</v>
      </c>
      <c r="L100" s="2">
        <v>41771</v>
      </c>
      <c r="M100" t="s">
        <v>46</v>
      </c>
      <c r="N100" t="s">
        <v>102</v>
      </c>
      <c r="O100" t="s">
        <v>98</v>
      </c>
      <c r="P100" t="s">
        <v>99</v>
      </c>
      <c r="Q100" t="s">
        <v>100</v>
      </c>
      <c r="R100">
        <v>99999</v>
      </c>
      <c r="S100" t="s">
        <v>30</v>
      </c>
      <c r="U100" t="s">
        <v>64</v>
      </c>
      <c r="V100" t="s">
        <v>65</v>
      </c>
      <c r="W100" s="3">
        <v>9.1999999999999993</v>
      </c>
      <c r="X100">
        <v>41</v>
      </c>
      <c r="Y100" s="4">
        <v>377.2</v>
      </c>
      <c r="Z100" s="3">
        <v>38.474400000000003</v>
      </c>
    </row>
    <row r="101" spans="1:26" x14ac:dyDescent="0.35">
      <c r="A101">
        <v>1109</v>
      </c>
      <c r="B101" s="2">
        <v>41770</v>
      </c>
      <c r="C101">
        <v>11</v>
      </c>
      <c r="D101" t="s">
        <v>113</v>
      </c>
      <c r="E101" t="s">
        <v>114</v>
      </c>
      <c r="F101" t="s">
        <v>115</v>
      </c>
      <c r="G101" t="s">
        <v>116</v>
      </c>
      <c r="H101">
        <v>99999</v>
      </c>
      <c r="I101" t="s">
        <v>30</v>
      </c>
      <c r="J101" t="s">
        <v>94</v>
      </c>
      <c r="K101" t="s">
        <v>95</v>
      </c>
      <c r="L101" s="2"/>
      <c r="M101" t="s">
        <v>62</v>
      </c>
      <c r="N101" t="s">
        <v>117</v>
      </c>
      <c r="O101" t="s">
        <v>114</v>
      </c>
      <c r="P101" t="s">
        <v>115</v>
      </c>
      <c r="Q101" t="s">
        <v>116</v>
      </c>
      <c r="R101">
        <v>99999</v>
      </c>
      <c r="S101" t="s">
        <v>30</v>
      </c>
      <c r="U101" t="s">
        <v>38</v>
      </c>
      <c r="V101" t="s">
        <v>39</v>
      </c>
      <c r="W101" s="3">
        <v>3.5</v>
      </c>
      <c r="X101">
        <v>44</v>
      </c>
      <c r="Y101" s="4">
        <v>154</v>
      </c>
      <c r="Z101" s="3">
        <v>15.246</v>
      </c>
    </row>
    <row r="102" spans="1:26" x14ac:dyDescent="0.35">
      <c r="A102">
        <v>1110</v>
      </c>
      <c r="B102" s="2">
        <v>41770</v>
      </c>
      <c r="C102">
        <v>11</v>
      </c>
      <c r="D102" t="s">
        <v>113</v>
      </c>
      <c r="E102" t="s">
        <v>114</v>
      </c>
      <c r="F102" t="s">
        <v>115</v>
      </c>
      <c r="G102" t="s">
        <v>116</v>
      </c>
      <c r="H102">
        <v>99999</v>
      </c>
      <c r="I102" t="s">
        <v>30</v>
      </c>
      <c r="J102" t="s">
        <v>94</v>
      </c>
      <c r="K102" t="s">
        <v>95</v>
      </c>
      <c r="L102" s="2"/>
      <c r="M102" t="s">
        <v>62</v>
      </c>
      <c r="N102" t="s">
        <v>117</v>
      </c>
      <c r="O102" t="s">
        <v>114</v>
      </c>
      <c r="P102" t="s">
        <v>115</v>
      </c>
      <c r="Q102" t="s">
        <v>116</v>
      </c>
      <c r="R102">
        <v>99999</v>
      </c>
      <c r="S102" t="s">
        <v>30</v>
      </c>
      <c r="U102" t="s">
        <v>103</v>
      </c>
      <c r="V102" t="s">
        <v>37</v>
      </c>
      <c r="W102" s="3">
        <v>2.99</v>
      </c>
      <c r="X102">
        <v>77</v>
      </c>
      <c r="Y102" s="4">
        <v>230.23000000000002</v>
      </c>
      <c r="Z102" s="3">
        <v>23.023000000000003</v>
      </c>
    </row>
    <row r="103" spans="1:26" x14ac:dyDescent="0.35">
      <c r="A103">
        <v>1111</v>
      </c>
      <c r="B103" s="2">
        <v>41760</v>
      </c>
      <c r="C103">
        <v>1</v>
      </c>
      <c r="D103" t="s">
        <v>118</v>
      </c>
      <c r="E103" t="s">
        <v>119</v>
      </c>
      <c r="F103" t="s">
        <v>120</v>
      </c>
      <c r="G103" t="s">
        <v>121</v>
      </c>
      <c r="H103">
        <v>99999</v>
      </c>
      <c r="I103" t="s">
        <v>30</v>
      </c>
      <c r="J103" t="s">
        <v>60</v>
      </c>
      <c r="K103" t="s">
        <v>61</v>
      </c>
      <c r="L103" s="2"/>
      <c r="N103" t="s">
        <v>122</v>
      </c>
      <c r="O103" t="s">
        <v>119</v>
      </c>
      <c r="P103" t="s">
        <v>120</v>
      </c>
      <c r="Q103" t="s">
        <v>121</v>
      </c>
      <c r="R103">
        <v>99999</v>
      </c>
      <c r="S103" t="s">
        <v>30</v>
      </c>
      <c r="U103" t="s">
        <v>54</v>
      </c>
      <c r="V103" t="s">
        <v>37</v>
      </c>
      <c r="W103" s="3">
        <v>18</v>
      </c>
      <c r="X103">
        <v>29</v>
      </c>
      <c r="Y103" s="4">
        <v>522</v>
      </c>
      <c r="Z103" s="3">
        <v>52.722000000000001</v>
      </c>
    </row>
    <row r="104" spans="1:26" x14ac:dyDescent="0.35">
      <c r="A104">
        <v>1112</v>
      </c>
      <c r="B104" s="2">
        <v>41760</v>
      </c>
      <c r="C104">
        <v>1</v>
      </c>
      <c r="D104" t="s">
        <v>118</v>
      </c>
      <c r="E104" t="s">
        <v>119</v>
      </c>
      <c r="F104" t="s">
        <v>120</v>
      </c>
      <c r="G104" t="s">
        <v>121</v>
      </c>
      <c r="H104">
        <v>99999</v>
      </c>
      <c r="I104" t="s">
        <v>30</v>
      </c>
      <c r="J104" t="s">
        <v>60</v>
      </c>
      <c r="K104" t="s">
        <v>61</v>
      </c>
      <c r="L104" s="2"/>
      <c r="N104" t="s">
        <v>122</v>
      </c>
      <c r="O104" t="s">
        <v>119</v>
      </c>
      <c r="P104" t="s">
        <v>120</v>
      </c>
      <c r="Q104" t="s">
        <v>121</v>
      </c>
      <c r="R104">
        <v>99999</v>
      </c>
      <c r="S104" t="s">
        <v>30</v>
      </c>
      <c r="U104" t="s">
        <v>55</v>
      </c>
      <c r="V104" t="s">
        <v>37</v>
      </c>
      <c r="W104" s="3">
        <v>46</v>
      </c>
      <c r="X104">
        <v>77</v>
      </c>
      <c r="Y104" s="4">
        <v>3542</v>
      </c>
      <c r="Z104" s="3">
        <v>368.36800000000005</v>
      </c>
    </row>
    <row r="105" spans="1:26" x14ac:dyDescent="0.35">
      <c r="A105">
        <v>1113</v>
      </c>
      <c r="B105" s="2">
        <v>41760</v>
      </c>
      <c r="C105">
        <v>1</v>
      </c>
      <c r="D105" t="s">
        <v>118</v>
      </c>
      <c r="E105" t="s">
        <v>119</v>
      </c>
      <c r="F105" t="s">
        <v>120</v>
      </c>
      <c r="G105" t="s">
        <v>121</v>
      </c>
      <c r="H105">
        <v>99999</v>
      </c>
      <c r="I105" t="s">
        <v>30</v>
      </c>
      <c r="J105" t="s">
        <v>60</v>
      </c>
      <c r="K105" t="s">
        <v>61</v>
      </c>
      <c r="L105" s="2"/>
      <c r="N105" t="s">
        <v>122</v>
      </c>
      <c r="O105" t="s">
        <v>119</v>
      </c>
      <c r="P105" t="s">
        <v>120</v>
      </c>
      <c r="Q105" t="s">
        <v>121</v>
      </c>
      <c r="R105">
        <v>99999</v>
      </c>
      <c r="S105" t="s">
        <v>30</v>
      </c>
      <c r="U105" t="s">
        <v>103</v>
      </c>
      <c r="V105" t="s">
        <v>37</v>
      </c>
      <c r="W105" s="3">
        <v>2.99</v>
      </c>
      <c r="X105">
        <v>73</v>
      </c>
      <c r="Y105" s="4">
        <v>218.27</v>
      </c>
      <c r="Z105" s="3">
        <v>21.827000000000002</v>
      </c>
    </row>
    <row r="106" spans="1:26" x14ac:dyDescent="0.35">
      <c r="A106">
        <v>1114</v>
      </c>
      <c r="B106" s="2">
        <v>41787</v>
      </c>
      <c r="C106">
        <v>28</v>
      </c>
      <c r="D106" t="s">
        <v>90</v>
      </c>
      <c r="E106" t="s">
        <v>91</v>
      </c>
      <c r="F106" t="s">
        <v>92</v>
      </c>
      <c r="G106" t="s">
        <v>93</v>
      </c>
      <c r="H106">
        <v>99999</v>
      </c>
      <c r="I106" t="s">
        <v>30</v>
      </c>
      <c r="J106" t="s">
        <v>94</v>
      </c>
      <c r="K106" t="s">
        <v>95</v>
      </c>
      <c r="L106">
        <v>41789</v>
      </c>
      <c r="M106" t="s">
        <v>62</v>
      </c>
      <c r="N106" t="s">
        <v>96</v>
      </c>
      <c r="O106" t="s">
        <v>91</v>
      </c>
      <c r="P106" t="s">
        <v>92</v>
      </c>
      <c r="Q106" t="s">
        <v>93</v>
      </c>
      <c r="R106">
        <v>99999</v>
      </c>
      <c r="S106" t="s">
        <v>30</v>
      </c>
      <c r="T106" t="s">
        <v>48</v>
      </c>
      <c r="U106" t="s">
        <v>80</v>
      </c>
      <c r="V106" t="s">
        <v>81</v>
      </c>
      <c r="W106" s="3">
        <v>9.65</v>
      </c>
      <c r="X106">
        <v>74</v>
      </c>
      <c r="Y106" s="4">
        <v>714.1</v>
      </c>
      <c r="Z106" s="3">
        <v>67.839500000000001</v>
      </c>
    </row>
    <row r="107" spans="1:26" x14ac:dyDescent="0.35">
      <c r="A107">
        <v>1115</v>
      </c>
      <c r="B107" s="2">
        <v>41787</v>
      </c>
      <c r="C107">
        <v>28</v>
      </c>
      <c r="D107" t="s">
        <v>90</v>
      </c>
      <c r="E107" t="s">
        <v>91</v>
      </c>
      <c r="F107" t="s">
        <v>92</v>
      </c>
      <c r="G107" t="s">
        <v>93</v>
      </c>
      <c r="H107">
        <v>99999</v>
      </c>
      <c r="I107" t="s">
        <v>30</v>
      </c>
      <c r="J107" t="s">
        <v>94</v>
      </c>
      <c r="K107" t="s">
        <v>95</v>
      </c>
      <c r="L107" s="2">
        <v>41789</v>
      </c>
      <c r="M107" t="s">
        <v>62</v>
      </c>
      <c r="N107" t="s">
        <v>96</v>
      </c>
      <c r="O107" t="s">
        <v>91</v>
      </c>
      <c r="P107" t="s">
        <v>92</v>
      </c>
      <c r="Q107" t="s">
        <v>93</v>
      </c>
      <c r="R107">
        <v>99999</v>
      </c>
      <c r="S107" t="s">
        <v>30</v>
      </c>
      <c r="T107" t="s">
        <v>48</v>
      </c>
      <c r="U107" t="s">
        <v>123</v>
      </c>
      <c r="V107" t="s">
        <v>124</v>
      </c>
      <c r="W107" s="3">
        <v>18.399999999999999</v>
      </c>
      <c r="X107">
        <v>25</v>
      </c>
      <c r="Y107" s="4">
        <v>459.99999999999994</v>
      </c>
      <c r="Z107" s="3">
        <v>46.46</v>
      </c>
    </row>
    <row r="108" spans="1:26" x14ac:dyDescent="0.35">
      <c r="A108">
        <v>1116</v>
      </c>
      <c r="B108" s="2">
        <v>41768</v>
      </c>
      <c r="C108">
        <v>9</v>
      </c>
      <c r="D108" t="s">
        <v>125</v>
      </c>
      <c r="E108" t="s">
        <v>126</v>
      </c>
      <c r="F108" t="s">
        <v>127</v>
      </c>
      <c r="G108" t="s">
        <v>128</v>
      </c>
      <c r="H108">
        <v>99999</v>
      </c>
      <c r="I108" t="s">
        <v>30</v>
      </c>
      <c r="J108" t="s">
        <v>129</v>
      </c>
      <c r="K108" t="s">
        <v>32</v>
      </c>
      <c r="L108" s="2">
        <v>41770</v>
      </c>
      <c r="M108" t="s">
        <v>46</v>
      </c>
      <c r="N108" t="s">
        <v>130</v>
      </c>
      <c r="O108" t="s">
        <v>126</v>
      </c>
      <c r="P108" t="s">
        <v>127</v>
      </c>
      <c r="Q108" t="s">
        <v>128</v>
      </c>
      <c r="R108">
        <v>99999</v>
      </c>
      <c r="S108" t="s">
        <v>30</v>
      </c>
      <c r="T108" t="s">
        <v>35</v>
      </c>
      <c r="U108" t="s">
        <v>131</v>
      </c>
      <c r="V108" t="s">
        <v>132</v>
      </c>
      <c r="W108" s="3">
        <v>19.5</v>
      </c>
      <c r="X108">
        <v>82</v>
      </c>
      <c r="Y108" s="4">
        <v>1599</v>
      </c>
      <c r="Z108" s="3">
        <v>153.50399999999999</v>
      </c>
    </row>
    <row r="109" spans="1:26" x14ac:dyDescent="0.35">
      <c r="A109">
        <v>1117</v>
      </c>
      <c r="B109" s="2">
        <v>41768</v>
      </c>
      <c r="C109">
        <v>9</v>
      </c>
      <c r="D109" t="s">
        <v>125</v>
      </c>
      <c r="E109" t="s">
        <v>126</v>
      </c>
      <c r="F109" t="s">
        <v>127</v>
      </c>
      <c r="G109" t="s">
        <v>128</v>
      </c>
      <c r="H109">
        <v>99999</v>
      </c>
      <c r="I109" t="s">
        <v>30</v>
      </c>
      <c r="J109" t="s">
        <v>129</v>
      </c>
      <c r="K109" t="s">
        <v>32</v>
      </c>
      <c r="L109" s="2">
        <v>41770</v>
      </c>
      <c r="M109" t="s">
        <v>46</v>
      </c>
      <c r="N109" t="s">
        <v>130</v>
      </c>
      <c r="O109" t="s">
        <v>126</v>
      </c>
      <c r="P109" t="s">
        <v>127</v>
      </c>
      <c r="Q109" t="s">
        <v>128</v>
      </c>
      <c r="R109">
        <v>99999</v>
      </c>
      <c r="S109" t="s">
        <v>30</v>
      </c>
      <c r="T109" t="s">
        <v>35</v>
      </c>
      <c r="U109" t="s">
        <v>133</v>
      </c>
      <c r="V109" t="s">
        <v>134</v>
      </c>
      <c r="W109" s="3">
        <v>34.799999999999997</v>
      </c>
      <c r="X109">
        <v>37</v>
      </c>
      <c r="Y109" s="4">
        <v>1287.5999999999999</v>
      </c>
      <c r="Z109" s="3">
        <v>132.62279999999998</v>
      </c>
    </row>
    <row r="110" spans="1:26" x14ac:dyDescent="0.35">
      <c r="A110">
        <v>1118</v>
      </c>
      <c r="B110" s="2">
        <v>41765</v>
      </c>
      <c r="C110">
        <v>6</v>
      </c>
      <c r="D110" t="s">
        <v>82</v>
      </c>
      <c r="E110" t="s">
        <v>83</v>
      </c>
      <c r="F110" t="s">
        <v>84</v>
      </c>
      <c r="G110" t="s">
        <v>85</v>
      </c>
      <c r="H110">
        <v>99999</v>
      </c>
      <c r="I110" t="s">
        <v>30</v>
      </c>
      <c r="J110" t="s">
        <v>86</v>
      </c>
      <c r="K110" t="s">
        <v>61</v>
      </c>
      <c r="L110">
        <v>41767</v>
      </c>
      <c r="M110" t="s">
        <v>33</v>
      </c>
      <c r="N110" t="s">
        <v>87</v>
      </c>
      <c r="O110" t="s">
        <v>83</v>
      </c>
      <c r="P110" t="s">
        <v>84</v>
      </c>
      <c r="Q110" t="s">
        <v>85</v>
      </c>
      <c r="R110">
        <v>99999</v>
      </c>
      <c r="S110" t="s">
        <v>30</v>
      </c>
      <c r="T110" t="s">
        <v>48</v>
      </c>
      <c r="U110" t="s">
        <v>36</v>
      </c>
      <c r="V110" t="s">
        <v>37</v>
      </c>
      <c r="W110" s="3">
        <v>14</v>
      </c>
      <c r="X110">
        <v>84</v>
      </c>
      <c r="Y110" s="4">
        <v>1176</v>
      </c>
      <c r="Z110" s="3">
        <v>112.896</v>
      </c>
    </row>
    <row r="111" spans="1:26" x14ac:dyDescent="0.35">
      <c r="A111">
        <v>1119</v>
      </c>
      <c r="B111" s="2">
        <v>41767</v>
      </c>
      <c r="C111">
        <v>8</v>
      </c>
      <c r="D111" t="s">
        <v>56</v>
      </c>
      <c r="E111" t="s">
        <v>57</v>
      </c>
      <c r="F111" t="s">
        <v>58</v>
      </c>
      <c r="G111" t="s">
        <v>59</v>
      </c>
      <c r="H111">
        <v>99999</v>
      </c>
      <c r="I111" t="s">
        <v>30</v>
      </c>
      <c r="J111" t="s">
        <v>60</v>
      </c>
      <c r="K111" t="s">
        <v>61</v>
      </c>
      <c r="L111">
        <v>41769</v>
      </c>
      <c r="M111" t="s">
        <v>33</v>
      </c>
      <c r="N111" t="s">
        <v>63</v>
      </c>
      <c r="O111" t="s">
        <v>57</v>
      </c>
      <c r="P111" t="s">
        <v>58</v>
      </c>
      <c r="Q111" t="s">
        <v>59</v>
      </c>
      <c r="R111">
        <v>99999</v>
      </c>
      <c r="S111" t="s">
        <v>30</v>
      </c>
      <c r="T111" t="s">
        <v>35</v>
      </c>
      <c r="U111" t="s">
        <v>88</v>
      </c>
      <c r="V111" t="s">
        <v>89</v>
      </c>
      <c r="W111" s="3">
        <v>40</v>
      </c>
      <c r="X111">
        <v>73</v>
      </c>
      <c r="Y111" s="4">
        <v>2920</v>
      </c>
      <c r="Z111" s="3">
        <v>283.24</v>
      </c>
    </row>
    <row r="112" spans="1:26" x14ac:dyDescent="0.35">
      <c r="A112">
        <v>1120</v>
      </c>
      <c r="B112" s="2">
        <v>41767</v>
      </c>
      <c r="C112">
        <v>8</v>
      </c>
      <c r="D112" t="s">
        <v>56</v>
      </c>
      <c r="E112" t="s">
        <v>57</v>
      </c>
      <c r="F112" t="s">
        <v>58</v>
      </c>
      <c r="G112" t="s">
        <v>59</v>
      </c>
      <c r="H112">
        <v>99999</v>
      </c>
      <c r="I112" t="s">
        <v>30</v>
      </c>
      <c r="J112" t="s">
        <v>60</v>
      </c>
      <c r="K112" t="s">
        <v>61</v>
      </c>
      <c r="L112">
        <v>41769</v>
      </c>
      <c r="M112" t="s">
        <v>33</v>
      </c>
      <c r="N112" t="s">
        <v>63</v>
      </c>
      <c r="O112" t="s">
        <v>57</v>
      </c>
      <c r="P112" t="s">
        <v>58</v>
      </c>
      <c r="Q112" t="s">
        <v>59</v>
      </c>
      <c r="R112">
        <v>99999</v>
      </c>
      <c r="S112" t="s">
        <v>30</v>
      </c>
      <c r="T112" t="s">
        <v>35</v>
      </c>
      <c r="U112" t="s">
        <v>64</v>
      </c>
      <c r="V112" t="s">
        <v>65</v>
      </c>
      <c r="W112" s="3">
        <v>9.1999999999999993</v>
      </c>
      <c r="X112">
        <v>51</v>
      </c>
      <c r="Y112" s="4">
        <v>469.2</v>
      </c>
      <c r="Z112" s="3">
        <v>44.573999999999998</v>
      </c>
    </row>
    <row r="113" spans="1:26" x14ac:dyDescent="0.35">
      <c r="A113">
        <v>1121</v>
      </c>
      <c r="B113" s="2">
        <v>41784</v>
      </c>
      <c r="C113">
        <v>25</v>
      </c>
      <c r="D113" t="s">
        <v>137</v>
      </c>
      <c r="E113" t="s">
        <v>138</v>
      </c>
      <c r="F113" t="s">
        <v>99</v>
      </c>
      <c r="G113" t="s">
        <v>100</v>
      </c>
      <c r="H113">
        <v>99999</v>
      </c>
      <c r="I113" t="s">
        <v>30</v>
      </c>
      <c r="J113" t="s">
        <v>101</v>
      </c>
      <c r="K113" t="s">
        <v>45</v>
      </c>
      <c r="L113">
        <v>41786</v>
      </c>
      <c r="M113" t="s">
        <v>46</v>
      </c>
      <c r="N113" t="s">
        <v>139</v>
      </c>
      <c r="O113" t="s">
        <v>138</v>
      </c>
      <c r="P113" t="s">
        <v>99</v>
      </c>
      <c r="Q113" t="s">
        <v>100</v>
      </c>
      <c r="R113">
        <v>99999</v>
      </c>
      <c r="S113" t="s">
        <v>30</v>
      </c>
      <c r="T113" t="s">
        <v>79</v>
      </c>
      <c r="U113" t="s">
        <v>146</v>
      </c>
      <c r="V113" t="s">
        <v>65</v>
      </c>
      <c r="W113" s="3">
        <v>10</v>
      </c>
      <c r="X113">
        <v>66</v>
      </c>
      <c r="Y113" s="4">
        <v>660</v>
      </c>
      <c r="Z113" s="3">
        <v>68.64</v>
      </c>
    </row>
    <row r="114" spans="1:26" x14ac:dyDescent="0.35">
      <c r="A114">
        <v>1122</v>
      </c>
      <c r="B114" s="2">
        <v>41785</v>
      </c>
      <c r="C114">
        <v>26</v>
      </c>
      <c r="D114" t="s">
        <v>140</v>
      </c>
      <c r="E114" t="s">
        <v>141</v>
      </c>
      <c r="F114" t="s">
        <v>115</v>
      </c>
      <c r="G114" t="s">
        <v>116</v>
      </c>
      <c r="H114">
        <v>99999</v>
      </c>
      <c r="I114" t="s">
        <v>30</v>
      </c>
      <c r="J114" t="s">
        <v>94</v>
      </c>
      <c r="K114" t="s">
        <v>95</v>
      </c>
      <c r="L114">
        <v>41787</v>
      </c>
      <c r="M114" t="s">
        <v>62</v>
      </c>
      <c r="N114" t="s">
        <v>142</v>
      </c>
      <c r="O114" t="s">
        <v>141</v>
      </c>
      <c r="P114" t="s">
        <v>115</v>
      </c>
      <c r="Q114" t="s">
        <v>116</v>
      </c>
      <c r="R114">
        <v>99999</v>
      </c>
      <c r="S114" t="s">
        <v>30</v>
      </c>
      <c r="T114" t="s">
        <v>48</v>
      </c>
      <c r="U114" t="s">
        <v>147</v>
      </c>
      <c r="V114" t="s">
        <v>148</v>
      </c>
      <c r="W114" s="3">
        <v>21.35</v>
      </c>
      <c r="X114">
        <v>36</v>
      </c>
      <c r="Y114" s="4">
        <v>768.6</v>
      </c>
      <c r="Z114" s="3">
        <v>74.554200000000009</v>
      </c>
    </row>
    <row r="115" spans="1:26" x14ac:dyDescent="0.35">
      <c r="A115">
        <v>1123</v>
      </c>
      <c r="B115" s="2">
        <v>41785</v>
      </c>
      <c r="C115">
        <v>26</v>
      </c>
      <c r="D115" t="s">
        <v>140</v>
      </c>
      <c r="E115" t="s">
        <v>141</v>
      </c>
      <c r="F115" t="s">
        <v>115</v>
      </c>
      <c r="G115" t="s">
        <v>116</v>
      </c>
      <c r="H115">
        <v>99999</v>
      </c>
      <c r="I115" t="s">
        <v>30</v>
      </c>
      <c r="J115" t="s">
        <v>94</v>
      </c>
      <c r="K115" t="s">
        <v>95</v>
      </c>
      <c r="L115" s="2">
        <v>41787</v>
      </c>
      <c r="M115" t="s">
        <v>62</v>
      </c>
      <c r="N115" t="s">
        <v>142</v>
      </c>
      <c r="O115" t="s">
        <v>141</v>
      </c>
      <c r="P115" t="s">
        <v>115</v>
      </c>
      <c r="Q115" t="s">
        <v>116</v>
      </c>
      <c r="R115">
        <v>99999</v>
      </c>
      <c r="S115" t="s">
        <v>30</v>
      </c>
      <c r="T115" t="s">
        <v>48</v>
      </c>
      <c r="U115" t="s">
        <v>80</v>
      </c>
      <c r="V115" t="s">
        <v>81</v>
      </c>
      <c r="W115" s="3">
        <v>9.65</v>
      </c>
      <c r="X115">
        <v>87</v>
      </c>
      <c r="Y115" s="4">
        <v>839.55000000000007</v>
      </c>
      <c r="Z115" s="3">
        <v>87.313200000000009</v>
      </c>
    </row>
    <row r="116" spans="1:26" x14ac:dyDescent="0.35">
      <c r="A116">
        <v>1124</v>
      </c>
      <c r="B116" s="2">
        <v>41785</v>
      </c>
      <c r="C116">
        <v>26</v>
      </c>
      <c r="D116" t="s">
        <v>140</v>
      </c>
      <c r="E116" t="s">
        <v>141</v>
      </c>
      <c r="F116" t="s">
        <v>115</v>
      </c>
      <c r="G116" t="s">
        <v>116</v>
      </c>
      <c r="H116">
        <v>99999</v>
      </c>
      <c r="I116" t="s">
        <v>30</v>
      </c>
      <c r="J116" t="s">
        <v>94</v>
      </c>
      <c r="K116" t="s">
        <v>95</v>
      </c>
      <c r="L116" s="2">
        <v>41787</v>
      </c>
      <c r="M116" t="s">
        <v>62</v>
      </c>
      <c r="N116" t="s">
        <v>142</v>
      </c>
      <c r="O116" t="s">
        <v>141</v>
      </c>
      <c r="P116" t="s">
        <v>115</v>
      </c>
      <c r="Q116" t="s">
        <v>116</v>
      </c>
      <c r="R116">
        <v>99999</v>
      </c>
      <c r="S116" t="s">
        <v>30</v>
      </c>
      <c r="T116" t="s">
        <v>48</v>
      </c>
      <c r="U116" t="s">
        <v>123</v>
      </c>
      <c r="V116" t="s">
        <v>124</v>
      </c>
      <c r="W116" s="3">
        <v>18.399999999999999</v>
      </c>
      <c r="X116">
        <v>64</v>
      </c>
      <c r="Y116" s="4">
        <v>1177.5999999999999</v>
      </c>
      <c r="Z116" s="3">
        <v>115.40479999999999</v>
      </c>
    </row>
    <row r="117" spans="1:26" x14ac:dyDescent="0.35">
      <c r="A117">
        <v>1125</v>
      </c>
      <c r="B117" s="2">
        <v>41788</v>
      </c>
      <c r="C117">
        <v>29</v>
      </c>
      <c r="D117" t="s">
        <v>66</v>
      </c>
      <c r="E117" t="s">
        <v>67</v>
      </c>
      <c r="F117" t="s">
        <v>68</v>
      </c>
      <c r="G117" t="s">
        <v>69</v>
      </c>
      <c r="H117">
        <v>99999</v>
      </c>
      <c r="I117" t="s">
        <v>30</v>
      </c>
      <c r="J117" t="s">
        <v>70</v>
      </c>
      <c r="K117" t="s">
        <v>32</v>
      </c>
      <c r="L117" s="2">
        <v>41790</v>
      </c>
      <c r="M117" t="s">
        <v>33</v>
      </c>
      <c r="N117" t="s">
        <v>71</v>
      </c>
      <c r="O117" t="s">
        <v>67</v>
      </c>
      <c r="P117" t="s">
        <v>68</v>
      </c>
      <c r="Q117" t="s">
        <v>69</v>
      </c>
      <c r="R117">
        <v>99999</v>
      </c>
      <c r="S117" t="s">
        <v>30</v>
      </c>
      <c r="T117" t="s">
        <v>35</v>
      </c>
      <c r="U117" t="s">
        <v>36</v>
      </c>
      <c r="V117" t="s">
        <v>37</v>
      </c>
      <c r="W117" s="3">
        <v>14</v>
      </c>
      <c r="X117">
        <v>21</v>
      </c>
      <c r="Y117" s="4">
        <v>294</v>
      </c>
      <c r="Z117" s="3">
        <v>30.870000000000005</v>
      </c>
    </row>
    <row r="118" spans="1:26" x14ac:dyDescent="0.35">
      <c r="A118">
        <v>1126</v>
      </c>
      <c r="B118" s="2">
        <v>41765</v>
      </c>
      <c r="C118">
        <v>6</v>
      </c>
      <c r="D118" t="s">
        <v>82</v>
      </c>
      <c r="E118" t="s">
        <v>83</v>
      </c>
      <c r="F118" t="s">
        <v>84</v>
      </c>
      <c r="G118" t="s">
        <v>85</v>
      </c>
      <c r="H118">
        <v>99999</v>
      </c>
      <c r="I118" t="s">
        <v>30</v>
      </c>
      <c r="J118" t="s">
        <v>86</v>
      </c>
      <c r="K118" t="s">
        <v>61</v>
      </c>
      <c r="L118" s="2">
        <v>41767</v>
      </c>
      <c r="M118" t="s">
        <v>62</v>
      </c>
      <c r="N118" t="s">
        <v>87</v>
      </c>
      <c r="O118" t="s">
        <v>83</v>
      </c>
      <c r="P118" t="s">
        <v>84</v>
      </c>
      <c r="Q118" t="s">
        <v>85</v>
      </c>
      <c r="R118">
        <v>99999</v>
      </c>
      <c r="S118" t="s">
        <v>30</v>
      </c>
      <c r="T118" t="s">
        <v>35</v>
      </c>
      <c r="U118" t="s">
        <v>72</v>
      </c>
      <c r="V118" t="s">
        <v>73</v>
      </c>
      <c r="W118" s="3">
        <v>12.75</v>
      </c>
      <c r="X118">
        <v>19</v>
      </c>
      <c r="Y118" s="4">
        <v>242.25</v>
      </c>
      <c r="Z118" s="3">
        <v>24.46725</v>
      </c>
    </row>
    <row r="119" spans="1:26" x14ac:dyDescent="0.35">
      <c r="A119">
        <v>1128</v>
      </c>
      <c r="B119" s="2">
        <v>41763</v>
      </c>
      <c r="C119">
        <v>4</v>
      </c>
      <c r="D119" t="s">
        <v>40</v>
      </c>
      <c r="E119" t="s">
        <v>41</v>
      </c>
      <c r="F119" t="s">
        <v>42</v>
      </c>
      <c r="G119" t="s">
        <v>43</v>
      </c>
      <c r="H119">
        <v>99999</v>
      </c>
      <c r="I119" t="s">
        <v>30</v>
      </c>
      <c r="J119" t="s">
        <v>44</v>
      </c>
      <c r="K119" t="s">
        <v>45</v>
      </c>
      <c r="L119" s="2">
        <v>41765</v>
      </c>
      <c r="M119" t="s">
        <v>46</v>
      </c>
      <c r="N119" t="s">
        <v>47</v>
      </c>
      <c r="O119" t="s">
        <v>41</v>
      </c>
      <c r="P119" t="s">
        <v>42</v>
      </c>
      <c r="Q119" t="s">
        <v>43</v>
      </c>
      <c r="R119">
        <v>99999</v>
      </c>
      <c r="S119" t="s">
        <v>30</v>
      </c>
      <c r="T119" t="s">
        <v>48</v>
      </c>
      <c r="U119" t="s">
        <v>149</v>
      </c>
      <c r="V119" t="s">
        <v>110</v>
      </c>
      <c r="W119" s="3">
        <v>81</v>
      </c>
      <c r="X119">
        <v>23</v>
      </c>
      <c r="Y119" s="4">
        <v>1863</v>
      </c>
      <c r="Z119" s="3">
        <v>195.61500000000001</v>
      </c>
    </row>
    <row r="120" spans="1:26" x14ac:dyDescent="0.35">
      <c r="A120">
        <v>1129</v>
      </c>
      <c r="B120" s="2">
        <v>41763</v>
      </c>
      <c r="C120">
        <v>4</v>
      </c>
      <c r="D120" t="s">
        <v>40</v>
      </c>
      <c r="E120" t="s">
        <v>41</v>
      </c>
      <c r="F120" t="s">
        <v>42</v>
      </c>
      <c r="G120" t="s">
        <v>43</v>
      </c>
      <c r="H120">
        <v>99999</v>
      </c>
      <c r="I120" t="s">
        <v>30</v>
      </c>
      <c r="J120" t="s">
        <v>44</v>
      </c>
      <c r="K120" t="s">
        <v>45</v>
      </c>
      <c r="L120" s="2">
        <v>41765</v>
      </c>
      <c r="M120" t="s">
        <v>46</v>
      </c>
      <c r="N120" t="s">
        <v>47</v>
      </c>
      <c r="O120" t="s">
        <v>41</v>
      </c>
      <c r="P120" t="s">
        <v>42</v>
      </c>
      <c r="Q120" t="s">
        <v>43</v>
      </c>
      <c r="R120">
        <v>99999</v>
      </c>
      <c r="S120" t="s">
        <v>30</v>
      </c>
      <c r="T120" t="s">
        <v>48</v>
      </c>
      <c r="U120" t="s">
        <v>150</v>
      </c>
      <c r="V120" t="s">
        <v>151</v>
      </c>
      <c r="W120" s="3">
        <v>7</v>
      </c>
      <c r="X120">
        <v>72</v>
      </c>
      <c r="Y120" s="4">
        <v>504</v>
      </c>
      <c r="Z120" s="3">
        <v>51.912000000000006</v>
      </c>
    </row>
    <row r="121" spans="1:26" x14ac:dyDescent="0.35">
      <c r="A121">
        <v>1131</v>
      </c>
      <c r="B121" s="2">
        <v>41767</v>
      </c>
      <c r="C121">
        <v>8</v>
      </c>
      <c r="D121" t="s">
        <v>56</v>
      </c>
      <c r="E121" t="s">
        <v>57</v>
      </c>
      <c r="F121" t="s">
        <v>58</v>
      </c>
      <c r="G121" t="s">
        <v>59</v>
      </c>
      <c r="H121">
        <v>99999</v>
      </c>
      <c r="I121" t="s">
        <v>30</v>
      </c>
      <c r="J121" t="s">
        <v>60</v>
      </c>
      <c r="K121" t="s">
        <v>61</v>
      </c>
      <c r="L121" s="2">
        <v>41769</v>
      </c>
      <c r="M121" t="s">
        <v>62</v>
      </c>
      <c r="N121" t="s">
        <v>63</v>
      </c>
      <c r="O121" t="s">
        <v>57</v>
      </c>
      <c r="P121" t="s">
        <v>58</v>
      </c>
      <c r="Q121" t="s">
        <v>59</v>
      </c>
      <c r="R121">
        <v>99999</v>
      </c>
      <c r="S121" t="s">
        <v>30</v>
      </c>
      <c r="T121" t="s">
        <v>48</v>
      </c>
      <c r="U121" t="s">
        <v>133</v>
      </c>
      <c r="V121" t="s">
        <v>134</v>
      </c>
      <c r="W121" s="3">
        <v>34.799999999999997</v>
      </c>
      <c r="X121">
        <v>22</v>
      </c>
      <c r="Y121" s="4">
        <v>765.59999999999991</v>
      </c>
      <c r="Z121" s="3">
        <v>75.02879999999999</v>
      </c>
    </row>
    <row r="122" spans="1:26" x14ac:dyDescent="0.35">
      <c r="A122">
        <v>1134</v>
      </c>
      <c r="B122" s="2">
        <v>41762</v>
      </c>
      <c r="C122">
        <v>3</v>
      </c>
      <c r="D122" t="s">
        <v>74</v>
      </c>
      <c r="E122" t="s">
        <v>75</v>
      </c>
      <c r="F122" t="s">
        <v>76</v>
      </c>
      <c r="G122" t="s">
        <v>77</v>
      </c>
      <c r="H122">
        <v>99999</v>
      </c>
      <c r="I122" t="s">
        <v>30</v>
      </c>
      <c r="J122" t="s">
        <v>31</v>
      </c>
      <c r="K122" t="s">
        <v>32</v>
      </c>
      <c r="L122" s="2">
        <v>41764</v>
      </c>
      <c r="M122" t="s">
        <v>33</v>
      </c>
      <c r="N122" t="s">
        <v>78</v>
      </c>
      <c r="O122" t="s">
        <v>75</v>
      </c>
      <c r="P122" t="s">
        <v>76</v>
      </c>
      <c r="Q122" t="s">
        <v>77</v>
      </c>
      <c r="R122">
        <v>99999</v>
      </c>
      <c r="S122" t="s">
        <v>30</v>
      </c>
      <c r="T122" t="s">
        <v>79</v>
      </c>
      <c r="U122" t="s">
        <v>135</v>
      </c>
      <c r="V122" t="s">
        <v>112</v>
      </c>
      <c r="W122" s="3">
        <v>10</v>
      </c>
      <c r="X122">
        <v>82</v>
      </c>
      <c r="Y122" s="4">
        <v>820</v>
      </c>
      <c r="Z122" s="3">
        <v>85.28</v>
      </c>
    </row>
    <row r="123" spans="1:26" x14ac:dyDescent="0.35">
      <c r="A123">
        <v>1135</v>
      </c>
      <c r="B123" s="2">
        <v>41762</v>
      </c>
      <c r="C123">
        <v>3</v>
      </c>
      <c r="D123" t="s">
        <v>74</v>
      </c>
      <c r="E123" t="s">
        <v>75</v>
      </c>
      <c r="F123" t="s">
        <v>76</v>
      </c>
      <c r="G123" t="s">
        <v>77</v>
      </c>
      <c r="H123">
        <v>99999</v>
      </c>
      <c r="I123" t="s">
        <v>30</v>
      </c>
      <c r="J123" t="s">
        <v>31</v>
      </c>
      <c r="K123" t="s">
        <v>32</v>
      </c>
      <c r="L123" s="2">
        <v>41764</v>
      </c>
      <c r="M123" t="s">
        <v>33</v>
      </c>
      <c r="N123" t="s">
        <v>78</v>
      </c>
      <c r="O123" t="s">
        <v>75</v>
      </c>
      <c r="P123" t="s">
        <v>76</v>
      </c>
      <c r="Q123" t="s">
        <v>77</v>
      </c>
      <c r="R123">
        <v>99999</v>
      </c>
      <c r="S123" t="s">
        <v>30</v>
      </c>
      <c r="T123" t="s">
        <v>79</v>
      </c>
      <c r="U123" t="s">
        <v>88</v>
      </c>
      <c r="V123" t="s">
        <v>89</v>
      </c>
      <c r="W123" s="3">
        <v>40</v>
      </c>
      <c r="X123">
        <v>98</v>
      </c>
      <c r="Y123" s="4">
        <v>3920</v>
      </c>
      <c r="Z123" s="3">
        <v>411.6</v>
      </c>
    </row>
    <row r="124" spans="1:26" x14ac:dyDescent="0.35">
      <c r="A124">
        <v>1138</v>
      </c>
      <c r="B124" s="2">
        <v>41797</v>
      </c>
      <c r="C124">
        <v>7</v>
      </c>
      <c r="D124" t="s">
        <v>104</v>
      </c>
      <c r="E124" t="s">
        <v>105</v>
      </c>
      <c r="F124" t="s">
        <v>106</v>
      </c>
      <c r="G124" t="s">
        <v>107</v>
      </c>
      <c r="H124">
        <v>99999</v>
      </c>
      <c r="I124" t="s">
        <v>30</v>
      </c>
      <c r="J124" t="s">
        <v>60</v>
      </c>
      <c r="K124" t="s">
        <v>61</v>
      </c>
      <c r="L124" s="2"/>
      <c r="N124" t="s">
        <v>108</v>
      </c>
      <c r="O124" t="s">
        <v>105</v>
      </c>
      <c r="P124" t="s">
        <v>106</v>
      </c>
      <c r="Q124" t="s">
        <v>107</v>
      </c>
      <c r="R124">
        <v>99999</v>
      </c>
      <c r="S124" t="s">
        <v>30</v>
      </c>
      <c r="U124" t="s">
        <v>55</v>
      </c>
      <c r="V124" t="s">
        <v>37</v>
      </c>
      <c r="W124" s="3">
        <v>46</v>
      </c>
      <c r="X124">
        <v>71</v>
      </c>
      <c r="Y124" s="4">
        <v>3266</v>
      </c>
      <c r="Z124" s="3">
        <v>310.27</v>
      </c>
    </row>
    <row r="125" spans="1:26" x14ac:dyDescent="0.35">
      <c r="A125">
        <v>1139</v>
      </c>
      <c r="B125" s="2">
        <v>41800</v>
      </c>
      <c r="C125">
        <v>10</v>
      </c>
      <c r="D125" t="s">
        <v>97</v>
      </c>
      <c r="E125" t="s">
        <v>98</v>
      </c>
      <c r="F125" t="s">
        <v>99</v>
      </c>
      <c r="G125" t="s">
        <v>100</v>
      </c>
      <c r="H125">
        <v>99999</v>
      </c>
      <c r="I125" t="s">
        <v>30</v>
      </c>
      <c r="J125" t="s">
        <v>101</v>
      </c>
      <c r="K125" t="s">
        <v>45</v>
      </c>
      <c r="L125" s="2">
        <v>41802</v>
      </c>
      <c r="M125" t="s">
        <v>46</v>
      </c>
      <c r="N125" t="s">
        <v>102</v>
      </c>
      <c r="O125" t="s">
        <v>98</v>
      </c>
      <c r="P125" t="s">
        <v>99</v>
      </c>
      <c r="Q125" t="s">
        <v>100</v>
      </c>
      <c r="R125">
        <v>99999</v>
      </c>
      <c r="S125" t="s">
        <v>30</v>
      </c>
      <c r="U125" t="s">
        <v>109</v>
      </c>
      <c r="V125" t="s">
        <v>110</v>
      </c>
      <c r="W125" s="3">
        <v>25</v>
      </c>
      <c r="X125">
        <v>40</v>
      </c>
      <c r="Y125" s="4">
        <v>1000</v>
      </c>
      <c r="Z125" s="3">
        <v>105</v>
      </c>
    </row>
    <row r="126" spans="1:26" x14ac:dyDescent="0.35">
      <c r="A126">
        <v>1140</v>
      </c>
      <c r="B126" s="2">
        <v>41800</v>
      </c>
      <c r="C126">
        <v>10</v>
      </c>
      <c r="D126" t="s">
        <v>97</v>
      </c>
      <c r="E126" t="s">
        <v>98</v>
      </c>
      <c r="F126" t="s">
        <v>99</v>
      </c>
      <c r="G126" t="s">
        <v>100</v>
      </c>
      <c r="H126">
        <v>99999</v>
      </c>
      <c r="I126" t="s">
        <v>30</v>
      </c>
      <c r="J126" t="s">
        <v>101</v>
      </c>
      <c r="K126" t="s">
        <v>45</v>
      </c>
      <c r="L126" s="2">
        <v>41802</v>
      </c>
      <c r="M126" t="s">
        <v>46</v>
      </c>
      <c r="N126" t="s">
        <v>102</v>
      </c>
      <c r="O126" t="s">
        <v>98</v>
      </c>
      <c r="P126" t="s">
        <v>99</v>
      </c>
      <c r="Q126" t="s">
        <v>100</v>
      </c>
      <c r="R126">
        <v>99999</v>
      </c>
      <c r="S126" t="s">
        <v>30</v>
      </c>
      <c r="U126" t="s">
        <v>111</v>
      </c>
      <c r="V126" t="s">
        <v>112</v>
      </c>
      <c r="W126" s="3">
        <v>22</v>
      </c>
      <c r="X126">
        <v>80</v>
      </c>
      <c r="Y126" s="4">
        <v>1760</v>
      </c>
      <c r="Z126" s="3">
        <v>172.48</v>
      </c>
    </row>
    <row r="127" spans="1:26" x14ac:dyDescent="0.35">
      <c r="A127">
        <v>1141</v>
      </c>
      <c r="B127" s="2">
        <v>41800</v>
      </c>
      <c r="C127">
        <v>10</v>
      </c>
      <c r="D127" t="s">
        <v>97</v>
      </c>
      <c r="E127" t="s">
        <v>98</v>
      </c>
      <c r="F127" t="s">
        <v>99</v>
      </c>
      <c r="G127" t="s">
        <v>100</v>
      </c>
      <c r="H127">
        <v>99999</v>
      </c>
      <c r="I127" t="s">
        <v>30</v>
      </c>
      <c r="J127" t="s">
        <v>101</v>
      </c>
      <c r="K127" t="s">
        <v>45</v>
      </c>
      <c r="L127" s="2">
        <v>41802</v>
      </c>
      <c r="M127" t="s">
        <v>46</v>
      </c>
      <c r="N127" t="s">
        <v>102</v>
      </c>
      <c r="O127" t="s">
        <v>98</v>
      </c>
      <c r="P127" t="s">
        <v>99</v>
      </c>
      <c r="Q127" t="s">
        <v>100</v>
      </c>
      <c r="R127">
        <v>99999</v>
      </c>
      <c r="S127" t="s">
        <v>30</v>
      </c>
      <c r="U127" t="s">
        <v>64</v>
      </c>
      <c r="V127" t="s">
        <v>65</v>
      </c>
      <c r="W127" s="3">
        <v>9.1999999999999993</v>
      </c>
      <c r="X127">
        <v>38</v>
      </c>
      <c r="Y127" s="4">
        <v>349.59999999999997</v>
      </c>
      <c r="Z127" s="3">
        <v>33.211999999999996</v>
      </c>
    </row>
    <row r="128" spans="1:26" x14ac:dyDescent="0.35">
      <c r="A128">
        <v>1142</v>
      </c>
      <c r="B128" s="2">
        <v>41801</v>
      </c>
      <c r="C128">
        <v>11</v>
      </c>
      <c r="D128" t="s">
        <v>113</v>
      </c>
      <c r="E128" t="s">
        <v>114</v>
      </c>
      <c r="F128" t="s">
        <v>115</v>
      </c>
      <c r="G128" t="s">
        <v>116</v>
      </c>
      <c r="H128">
        <v>99999</v>
      </c>
      <c r="I128" t="s">
        <v>30</v>
      </c>
      <c r="J128" t="s">
        <v>94</v>
      </c>
      <c r="K128" t="s">
        <v>95</v>
      </c>
      <c r="L128" s="2"/>
      <c r="M128" t="s">
        <v>62</v>
      </c>
      <c r="N128" t="s">
        <v>117</v>
      </c>
      <c r="O128" t="s">
        <v>114</v>
      </c>
      <c r="P128" t="s">
        <v>115</v>
      </c>
      <c r="Q128" t="s">
        <v>116</v>
      </c>
      <c r="R128">
        <v>99999</v>
      </c>
      <c r="S128" t="s">
        <v>30</v>
      </c>
      <c r="U128" t="s">
        <v>38</v>
      </c>
      <c r="V128" t="s">
        <v>39</v>
      </c>
      <c r="W128">
        <v>3.5</v>
      </c>
      <c r="X128">
        <v>28</v>
      </c>
      <c r="Y128" s="4">
        <v>98</v>
      </c>
      <c r="Z128" s="3">
        <v>10.290000000000001</v>
      </c>
    </row>
    <row r="129" spans="1:26" x14ac:dyDescent="0.35">
      <c r="A129">
        <v>1143</v>
      </c>
      <c r="B129" s="2">
        <v>41801</v>
      </c>
      <c r="C129">
        <v>11</v>
      </c>
      <c r="D129" t="s">
        <v>113</v>
      </c>
      <c r="E129" t="s">
        <v>114</v>
      </c>
      <c r="F129" t="s">
        <v>115</v>
      </c>
      <c r="G129" t="s">
        <v>116</v>
      </c>
      <c r="H129">
        <v>99999</v>
      </c>
      <c r="I129" t="s">
        <v>30</v>
      </c>
      <c r="J129" t="s">
        <v>94</v>
      </c>
      <c r="K129" t="s">
        <v>95</v>
      </c>
      <c r="L129" s="2"/>
      <c r="M129" t="s">
        <v>62</v>
      </c>
      <c r="N129" t="s">
        <v>117</v>
      </c>
      <c r="O129" t="s">
        <v>114</v>
      </c>
      <c r="P129" t="s">
        <v>115</v>
      </c>
      <c r="Q129" t="s">
        <v>116</v>
      </c>
      <c r="R129">
        <v>99999</v>
      </c>
      <c r="S129" t="s">
        <v>30</v>
      </c>
      <c r="U129" t="s">
        <v>103</v>
      </c>
      <c r="V129" t="s">
        <v>37</v>
      </c>
      <c r="W129">
        <v>2.99</v>
      </c>
      <c r="X129">
        <v>60</v>
      </c>
      <c r="Y129" s="4">
        <v>179.4</v>
      </c>
      <c r="Z129" s="3">
        <v>17.581200000000003</v>
      </c>
    </row>
    <row r="130" spans="1:26" x14ac:dyDescent="0.35">
      <c r="A130">
        <v>1144</v>
      </c>
      <c r="B130" s="2">
        <v>41791</v>
      </c>
      <c r="C130">
        <v>1</v>
      </c>
      <c r="D130" t="s">
        <v>118</v>
      </c>
      <c r="E130" t="s">
        <v>119</v>
      </c>
      <c r="F130" t="s">
        <v>120</v>
      </c>
      <c r="G130" t="s">
        <v>121</v>
      </c>
      <c r="H130">
        <v>99999</v>
      </c>
      <c r="I130" t="s">
        <v>30</v>
      </c>
      <c r="J130" t="s">
        <v>60</v>
      </c>
      <c r="K130" t="s">
        <v>61</v>
      </c>
      <c r="L130" s="2"/>
      <c r="N130" t="s">
        <v>122</v>
      </c>
      <c r="O130" t="s">
        <v>119</v>
      </c>
      <c r="P130" t="s">
        <v>120</v>
      </c>
      <c r="Q130" t="s">
        <v>121</v>
      </c>
      <c r="R130">
        <v>99999</v>
      </c>
      <c r="S130" t="s">
        <v>30</v>
      </c>
      <c r="U130" t="s">
        <v>54</v>
      </c>
      <c r="V130" t="s">
        <v>37</v>
      </c>
      <c r="W130">
        <v>18</v>
      </c>
      <c r="X130">
        <v>33</v>
      </c>
      <c r="Y130" s="4">
        <v>594</v>
      </c>
      <c r="Z130" s="3">
        <v>58.212000000000003</v>
      </c>
    </row>
    <row r="131" spans="1:26" x14ac:dyDescent="0.35">
      <c r="A131">
        <v>1145</v>
      </c>
      <c r="B131" s="2">
        <v>41791</v>
      </c>
      <c r="C131">
        <v>1</v>
      </c>
      <c r="D131" t="s">
        <v>118</v>
      </c>
      <c r="E131" t="s">
        <v>119</v>
      </c>
      <c r="F131" t="s">
        <v>120</v>
      </c>
      <c r="G131" t="s">
        <v>121</v>
      </c>
      <c r="H131">
        <v>99999</v>
      </c>
      <c r="I131" t="s">
        <v>30</v>
      </c>
      <c r="J131" t="s">
        <v>60</v>
      </c>
      <c r="K131" t="s">
        <v>61</v>
      </c>
      <c r="L131" s="2"/>
      <c r="N131" t="s">
        <v>122</v>
      </c>
      <c r="O131" t="s">
        <v>119</v>
      </c>
      <c r="P131" t="s">
        <v>120</v>
      </c>
      <c r="Q131" t="s">
        <v>121</v>
      </c>
      <c r="R131">
        <v>99999</v>
      </c>
      <c r="S131" t="s">
        <v>30</v>
      </c>
      <c r="U131" t="s">
        <v>55</v>
      </c>
      <c r="V131" t="s">
        <v>37</v>
      </c>
      <c r="W131">
        <v>46</v>
      </c>
      <c r="X131">
        <v>22</v>
      </c>
      <c r="Y131" s="4">
        <v>1012</v>
      </c>
      <c r="Z131" s="3">
        <v>101.2</v>
      </c>
    </row>
    <row r="132" spans="1:26" x14ac:dyDescent="0.35">
      <c r="A132">
        <v>1146</v>
      </c>
      <c r="B132" s="2">
        <v>41791</v>
      </c>
      <c r="C132">
        <v>1</v>
      </c>
      <c r="D132" t="s">
        <v>118</v>
      </c>
      <c r="E132" t="s">
        <v>119</v>
      </c>
      <c r="F132" t="s">
        <v>120</v>
      </c>
      <c r="G132" t="s">
        <v>121</v>
      </c>
      <c r="H132">
        <v>99999</v>
      </c>
      <c r="I132" t="s">
        <v>30</v>
      </c>
      <c r="J132" t="s">
        <v>60</v>
      </c>
      <c r="K132" t="s">
        <v>61</v>
      </c>
      <c r="L132" s="2"/>
      <c r="N132" t="s">
        <v>122</v>
      </c>
      <c r="O132" t="s">
        <v>119</v>
      </c>
      <c r="P132" t="s">
        <v>120</v>
      </c>
      <c r="Q132" t="s">
        <v>121</v>
      </c>
      <c r="R132">
        <v>99999</v>
      </c>
      <c r="S132" t="s">
        <v>30</v>
      </c>
      <c r="U132" t="s">
        <v>103</v>
      </c>
      <c r="V132" t="s">
        <v>37</v>
      </c>
      <c r="W132">
        <v>2.99</v>
      </c>
      <c r="X132">
        <v>51</v>
      </c>
      <c r="Y132" s="4">
        <v>152.49</v>
      </c>
      <c r="Z132" s="3">
        <v>14.944020000000002</v>
      </c>
    </row>
    <row r="133" spans="1:26" x14ac:dyDescent="0.35">
      <c r="A133">
        <v>1147</v>
      </c>
      <c r="B133" s="2">
        <v>41818</v>
      </c>
      <c r="C133">
        <v>28</v>
      </c>
      <c r="D133" t="s">
        <v>90</v>
      </c>
      <c r="E133" t="s">
        <v>91</v>
      </c>
      <c r="F133" t="s">
        <v>92</v>
      </c>
      <c r="G133" t="s">
        <v>93</v>
      </c>
      <c r="H133">
        <v>99999</v>
      </c>
      <c r="I133" t="s">
        <v>30</v>
      </c>
      <c r="J133" t="s">
        <v>94</v>
      </c>
      <c r="K133" t="s">
        <v>95</v>
      </c>
      <c r="L133" s="2">
        <v>41820</v>
      </c>
      <c r="M133" t="s">
        <v>62</v>
      </c>
      <c r="N133" t="s">
        <v>96</v>
      </c>
      <c r="O133" t="s">
        <v>91</v>
      </c>
      <c r="P133" t="s">
        <v>92</v>
      </c>
      <c r="Q133" t="s">
        <v>93</v>
      </c>
      <c r="R133">
        <v>99999</v>
      </c>
      <c r="S133" t="s">
        <v>30</v>
      </c>
      <c r="T133" t="s">
        <v>48</v>
      </c>
      <c r="U133" t="s">
        <v>80</v>
      </c>
      <c r="V133" t="s">
        <v>81</v>
      </c>
      <c r="W133">
        <v>9.65</v>
      </c>
      <c r="X133">
        <v>60</v>
      </c>
      <c r="Y133" s="4">
        <v>579</v>
      </c>
      <c r="Z133" s="3">
        <v>57.321000000000005</v>
      </c>
    </row>
    <row r="134" spans="1:26" x14ac:dyDescent="0.35">
      <c r="A134">
        <v>1148</v>
      </c>
      <c r="B134" s="2">
        <v>41818</v>
      </c>
      <c r="C134">
        <v>28</v>
      </c>
      <c r="D134" t="s">
        <v>90</v>
      </c>
      <c r="E134" t="s">
        <v>91</v>
      </c>
      <c r="F134" t="s">
        <v>92</v>
      </c>
      <c r="G134" t="s">
        <v>93</v>
      </c>
      <c r="H134">
        <v>99999</v>
      </c>
      <c r="I134" t="s">
        <v>30</v>
      </c>
      <c r="J134" t="s">
        <v>94</v>
      </c>
      <c r="K134" t="s">
        <v>95</v>
      </c>
      <c r="L134" s="2">
        <v>41820</v>
      </c>
      <c r="M134" t="s">
        <v>62</v>
      </c>
      <c r="N134" t="s">
        <v>96</v>
      </c>
      <c r="O134" t="s">
        <v>91</v>
      </c>
      <c r="P134" t="s">
        <v>92</v>
      </c>
      <c r="Q134" t="s">
        <v>93</v>
      </c>
      <c r="R134">
        <v>99999</v>
      </c>
      <c r="S134" t="s">
        <v>30</v>
      </c>
      <c r="T134" t="s">
        <v>48</v>
      </c>
      <c r="U134" t="s">
        <v>123</v>
      </c>
      <c r="V134" t="s">
        <v>124</v>
      </c>
      <c r="W134">
        <v>18.399999999999999</v>
      </c>
      <c r="X134">
        <v>98</v>
      </c>
      <c r="Y134" s="4">
        <v>1803.1999999999998</v>
      </c>
      <c r="Z134" s="3">
        <v>183.9264</v>
      </c>
    </row>
    <row r="135" spans="1:26" x14ac:dyDescent="0.35">
      <c r="A135">
        <v>1149</v>
      </c>
      <c r="B135" s="2">
        <v>41799</v>
      </c>
      <c r="C135">
        <v>9</v>
      </c>
      <c r="D135" t="s">
        <v>125</v>
      </c>
      <c r="E135" t="s">
        <v>126</v>
      </c>
      <c r="F135" t="s">
        <v>127</v>
      </c>
      <c r="G135" t="s">
        <v>128</v>
      </c>
      <c r="H135">
        <v>99999</v>
      </c>
      <c r="I135" t="s">
        <v>30</v>
      </c>
      <c r="J135" t="s">
        <v>129</v>
      </c>
      <c r="K135" t="s">
        <v>32</v>
      </c>
      <c r="L135" s="2">
        <v>41801</v>
      </c>
      <c r="M135" t="s">
        <v>46</v>
      </c>
      <c r="N135" t="s">
        <v>130</v>
      </c>
      <c r="O135" t="s">
        <v>126</v>
      </c>
      <c r="P135" t="s">
        <v>127</v>
      </c>
      <c r="Q135" t="s">
        <v>128</v>
      </c>
      <c r="R135">
        <v>99999</v>
      </c>
      <c r="S135" t="s">
        <v>30</v>
      </c>
      <c r="T135" t="s">
        <v>35</v>
      </c>
      <c r="U135" t="s">
        <v>131</v>
      </c>
      <c r="V135" t="s">
        <v>132</v>
      </c>
      <c r="W135">
        <v>19.5</v>
      </c>
      <c r="X135">
        <v>27</v>
      </c>
      <c r="Y135" s="4">
        <v>526.5</v>
      </c>
      <c r="Z135" s="3">
        <v>51.070500000000003</v>
      </c>
    </row>
    <row r="136" spans="1:26" x14ac:dyDescent="0.35">
      <c r="A136">
        <v>1150</v>
      </c>
      <c r="B136" s="2">
        <v>41799</v>
      </c>
      <c r="C136">
        <v>9</v>
      </c>
      <c r="D136" t="s">
        <v>125</v>
      </c>
      <c r="E136" t="s">
        <v>126</v>
      </c>
      <c r="F136" t="s">
        <v>127</v>
      </c>
      <c r="G136" t="s">
        <v>128</v>
      </c>
      <c r="H136">
        <v>99999</v>
      </c>
      <c r="I136" t="s">
        <v>30</v>
      </c>
      <c r="J136" t="s">
        <v>129</v>
      </c>
      <c r="K136" t="s">
        <v>32</v>
      </c>
      <c r="L136" s="2">
        <v>41801</v>
      </c>
      <c r="M136" t="s">
        <v>46</v>
      </c>
      <c r="N136" t="s">
        <v>130</v>
      </c>
      <c r="O136" t="s">
        <v>126</v>
      </c>
      <c r="P136" t="s">
        <v>127</v>
      </c>
      <c r="Q136" t="s">
        <v>128</v>
      </c>
      <c r="R136">
        <v>99999</v>
      </c>
      <c r="S136" t="s">
        <v>30</v>
      </c>
      <c r="T136" t="s">
        <v>35</v>
      </c>
      <c r="U136" t="s">
        <v>133</v>
      </c>
      <c r="V136" t="s">
        <v>134</v>
      </c>
      <c r="W136">
        <v>34.799999999999997</v>
      </c>
      <c r="X136">
        <v>88</v>
      </c>
      <c r="Y136" s="4">
        <v>3062.3999999999996</v>
      </c>
      <c r="Z136" s="3">
        <v>303.17759999999993</v>
      </c>
    </row>
    <row r="137" spans="1:26" x14ac:dyDescent="0.35">
      <c r="A137">
        <v>1151</v>
      </c>
      <c r="B137" s="2">
        <v>41796</v>
      </c>
      <c r="C137">
        <v>6</v>
      </c>
      <c r="D137" t="s">
        <v>82</v>
      </c>
      <c r="E137" t="s">
        <v>83</v>
      </c>
      <c r="F137" t="s">
        <v>84</v>
      </c>
      <c r="G137" t="s">
        <v>85</v>
      </c>
      <c r="H137">
        <v>99999</v>
      </c>
      <c r="I137" t="s">
        <v>30</v>
      </c>
      <c r="J137" t="s">
        <v>86</v>
      </c>
      <c r="K137" t="s">
        <v>61</v>
      </c>
      <c r="L137" s="2">
        <v>41798</v>
      </c>
      <c r="M137" t="s">
        <v>33</v>
      </c>
      <c r="N137" t="s">
        <v>87</v>
      </c>
      <c r="O137" t="s">
        <v>83</v>
      </c>
      <c r="P137" t="s">
        <v>84</v>
      </c>
      <c r="Q137" t="s">
        <v>85</v>
      </c>
      <c r="R137">
        <v>99999</v>
      </c>
      <c r="S137" t="s">
        <v>30</v>
      </c>
      <c r="T137" t="s">
        <v>48</v>
      </c>
      <c r="U137" t="s">
        <v>36</v>
      </c>
      <c r="V137" t="s">
        <v>37</v>
      </c>
      <c r="W137">
        <v>14</v>
      </c>
      <c r="X137">
        <v>65</v>
      </c>
      <c r="Y137" s="4">
        <v>910</v>
      </c>
      <c r="Z137" s="3">
        <v>95.55</v>
      </c>
    </row>
    <row r="138" spans="1:26" x14ac:dyDescent="0.35">
      <c r="A138">
        <v>1152</v>
      </c>
      <c r="B138" s="2">
        <v>41798</v>
      </c>
      <c r="C138">
        <v>8</v>
      </c>
      <c r="D138" t="s">
        <v>56</v>
      </c>
      <c r="E138" t="s">
        <v>57</v>
      </c>
      <c r="F138" t="s">
        <v>58</v>
      </c>
      <c r="G138" t="s">
        <v>59</v>
      </c>
      <c r="H138">
        <v>99999</v>
      </c>
      <c r="I138" t="s">
        <v>30</v>
      </c>
      <c r="J138" t="s">
        <v>60</v>
      </c>
      <c r="K138" t="s">
        <v>61</v>
      </c>
      <c r="L138" s="2">
        <v>41800</v>
      </c>
      <c r="M138" t="s">
        <v>33</v>
      </c>
      <c r="N138" t="s">
        <v>63</v>
      </c>
      <c r="O138" t="s">
        <v>57</v>
      </c>
      <c r="P138" t="s">
        <v>58</v>
      </c>
      <c r="Q138" t="s">
        <v>59</v>
      </c>
      <c r="R138">
        <v>99999</v>
      </c>
      <c r="S138" t="s">
        <v>30</v>
      </c>
      <c r="T138" t="s">
        <v>35</v>
      </c>
      <c r="U138" t="s">
        <v>88</v>
      </c>
      <c r="V138" t="s">
        <v>89</v>
      </c>
      <c r="W138">
        <v>40</v>
      </c>
      <c r="X138">
        <v>38</v>
      </c>
      <c r="Y138" s="4">
        <v>1520</v>
      </c>
      <c r="Z138" s="3">
        <v>148.96</v>
      </c>
    </row>
    <row r="139" spans="1:26" x14ac:dyDescent="0.35">
      <c r="A139">
        <v>1153</v>
      </c>
      <c r="B139" s="2">
        <v>41798</v>
      </c>
      <c r="C139">
        <v>8</v>
      </c>
      <c r="D139" t="s">
        <v>56</v>
      </c>
      <c r="E139" t="s">
        <v>57</v>
      </c>
      <c r="F139" t="s">
        <v>58</v>
      </c>
      <c r="G139" t="s">
        <v>59</v>
      </c>
      <c r="H139">
        <v>99999</v>
      </c>
      <c r="I139" t="s">
        <v>30</v>
      </c>
      <c r="J139" t="s">
        <v>60</v>
      </c>
      <c r="K139" t="s">
        <v>61</v>
      </c>
      <c r="L139">
        <v>41800</v>
      </c>
      <c r="M139" t="s">
        <v>33</v>
      </c>
      <c r="N139" t="s">
        <v>63</v>
      </c>
      <c r="O139" t="s">
        <v>57</v>
      </c>
      <c r="P139" t="s">
        <v>58</v>
      </c>
      <c r="Q139" t="s">
        <v>59</v>
      </c>
      <c r="R139">
        <v>99999</v>
      </c>
      <c r="S139" t="s">
        <v>30</v>
      </c>
      <c r="T139" t="s">
        <v>35</v>
      </c>
      <c r="U139" t="s">
        <v>64</v>
      </c>
      <c r="V139" t="s">
        <v>65</v>
      </c>
      <c r="W139" s="3">
        <v>9.1999999999999993</v>
      </c>
      <c r="X139">
        <v>80</v>
      </c>
      <c r="Y139" s="4">
        <v>736</v>
      </c>
      <c r="Z139" s="3">
        <v>70.656000000000006</v>
      </c>
    </row>
    <row r="140" spans="1:26" x14ac:dyDescent="0.35">
      <c r="A140">
        <v>1154</v>
      </c>
      <c r="B140" s="2">
        <v>41815</v>
      </c>
      <c r="C140">
        <v>25</v>
      </c>
      <c r="D140" t="s">
        <v>137</v>
      </c>
      <c r="E140" t="s">
        <v>138</v>
      </c>
      <c r="F140" t="s">
        <v>99</v>
      </c>
      <c r="G140" t="s">
        <v>100</v>
      </c>
      <c r="H140">
        <v>99999</v>
      </c>
      <c r="I140" t="s">
        <v>30</v>
      </c>
      <c r="J140" t="s">
        <v>101</v>
      </c>
      <c r="K140" t="s">
        <v>45</v>
      </c>
      <c r="L140" s="2">
        <v>41817</v>
      </c>
      <c r="M140" t="s">
        <v>46</v>
      </c>
      <c r="N140" t="s">
        <v>139</v>
      </c>
      <c r="O140" t="s">
        <v>138</v>
      </c>
      <c r="P140" t="s">
        <v>99</v>
      </c>
      <c r="Q140" t="s">
        <v>100</v>
      </c>
      <c r="R140">
        <v>99999</v>
      </c>
      <c r="S140" t="s">
        <v>30</v>
      </c>
      <c r="T140" t="s">
        <v>79</v>
      </c>
      <c r="U140" t="s">
        <v>146</v>
      </c>
      <c r="V140" t="s">
        <v>65</v>
      </c>
      <c r="W140" s="3">
        <v>10</v>
      </c>
      <c r="X140">
        <v>49</v>
      </c>
      <c r="Y140" s="4">
        <v>490</v>
      </c>
      <c r="Z140" s="3">
        <v>47.04</v>
      </c>
    </row>
    <row r="141" spans="1:26" x14ac:dyDescent="0.35">
      <c r="A141">
        <v>1155</v>
      </c>
      <c r="B141" s="2">
        <v>41816</v>
      </c>
      <c r="C141">
        <v>26</v>
      </c>
      <c r="D141" t="s">
        <v>140</v>
      </c>
      <c r="E141" t="s">
        <v>141</v>
      </c>
      <c r="F141" t="s">
        <v>115</v>
      </c>
      <c r="G141" t="s">
        <v>116</v>
      </c>
      <c r="H141">
        <v>99999</v>
      </c>
      <c r="I141" t="s">
        <v>30</v>
      </c>
      <c r="J141" t="s">
        <v>94</v>
      </c>
      <c r="K141" t="s">
        <v>95</v>
      </c>
      <c r="L141" s="2">
        <v>41818</v>
      </c>
      <c r="M141" t="s">
        <v>62</v>
      </c>
      <c r="N141" t="s">
        <v>142</v>
      </c>
      <c r="O141" t="s">
        <v>141</v>
      </c>
      <c r="P141" t="s">
        <v>115</v>
      </c>
      <c r="Q141" t="s">
        <v>116</v>
      </c>
      <c r="R141">
        <v>99999</v>
      </c>
      <c r="S141" t="s">
        <v>30</v>
      </c>
      <c r="T141" t="s">
        <v>48</v>
      </c>
      <c r="U141" t="s">
        <v>147</v>
      </c>
      <c r="V141" t="s">
        <v>148</v>
      </c>
      <c r="W141" s="3">
        <v>21.35</v>
      </c>
      <c r="X141">
        <v>90</v>
      </c>
      <c r="Y141" s="4">
        <v>1921.5000000000002</v>
      </c>
      <c r="Z141" s="3">
        <v>186.38550000000004</v>
      </c>
    </row>
    <row r="142" spans="1:26" x14ac:dyDescent="0.35">
      <c r="A142">
        <v>1156</v>
      </c>
      <c r="B142" s="2">
        <v>41816</v>
      </c>
      <c r="C142">
        <v>26</v>
      </c>
      <c r="D142" t="s">
        <v>140</v>
      </c>
      <c r="E142" t="s">
        <v>141</v>
      </c>
      <c r="F142" t="s">
        <v>115</v>
      </c>
      <c r="G142" t="s">
        <v>116</v>
      </c>
      <c r="H142">
        <v>99999</v>
      </c>
      <c r="I142" t="s">
        <v>30</v>
      </c>
      <c r="J142" t="s">
        <v>94</v>
      </c>
      <c r="K142" t="s">
        <v>95</v>
      </c>
      <c r="L142" s="2">
        <v>41818</v>
      </c>
      <c r="M142" t="s">
        <v>62</v>
      </c>
      <c r="N142" t="s">
        <v>142</v>
      </c>
      <c r="O142" t="s">
        <v>141</v>
      </c>
      <c r="P142" t="s">
        <v>115</v>
      </c>
      <c r="Q142" t="s">
        <v>116</v>
      </c>
      <c r="R142">
        <v>99999</v>
      </c>
      <c r="S142" t="s">
        <v>30</v>
      </c>
      <c r="T142" t="s">
        <v>48</v>
      </c>
      <c r="U142" t="s">
        <v>80</v>
      </c>
      <c r="V142" t="s">
        <v>81</v>
      </c>
      <c r="W142" s="3">
        <v>9.65</v>
      </c>
      <c r="X142">
        <v>60</v>
      </c>
      <c r="Y142" s="4">
        <v>579</v>
      </c>
      <c r="Z142" s="3">
        <v>59.637000000000008</v>
      </c>
    </row>
    <row r="143" spans="1:26" x14ac:dyDescent="0.35">
      <c r="A143">
        <v>1157</v>
      </c>
      <c r="B143" s="2">
        <v>41816</v>
      </c>
      <c r="C143">
        <v>26</v>
      </c>
      <c r="D143" t="s">
        <v>140</v>
      </c>
      <c r="E143" t="s">
        <v>141</v>
      </c>
      <c r="F143" t="s">
        <v>115</v>
      </c>
      <c r="G143" t="s">
        <v>116</v>
      </c>
      <c r="H143">
        <v>99999</v>
      </c>
      <c r="I143" t="s">
        <v>30</v>
      </c>
      <c r="J143" t="s">
        <v>94</v>
      </c>
      <c r="K143" t="s">
        <v>95</v>
      </c>
      <c r="L143">
        <v>41818</v>
      </c>
      <c r="M143" t="s">
        <v>62</v>
      </c>
      <c r="N143" t="s">
        <v>142</v>
      </c>
      <c r="O143" t="s">
        <v>141</v>
      </c>
      <c r="P143" t="s">
        <v>115</v>
      </c>
      <c r="Q143" t="s">
        <v>116</v>
      </c>
      <c r="R143">
        <v>99999</v>
      </c>
      <c r="S143" t="s">
        <v>30</v>
      </c>
      <c r="T143" t="s">
        <v>48</v>
      </c>
      <c r="U143" t="s">
        <v>123</v>
      </c>
      <c r="V143" t="s">
        <v>124</v>
      </c>
      <c r="W143" s="3">
        <v>18.399999999999999</v>
      </c>
      <c r="X143">
        <v>39</v>
      </c>
      <c r="Y143" s="4">
        <v>717.59999999999991</v>
      </c>
      <c r="Z143" s="3">
        <v>71.759999999999991</v>
      </c>
    </row>
    <row r="144" spans="1:26" x14ac:dyDescent="0.35">
      <c r="A144">
        <v>1158</v>
      </c>
      <c r="B144" s="2">
        <v>41819</v>
      </c>
      <c r="C144">
        <v>29</v>
      </c>
      <c r="D144" t="s">
        <v>66</v>
      </c>
      <c r="E144" t="s">
        <v>67</v>
      </c>
      <c r="F144" t="s">
        <v>68</v>
      </c>
      <c r="G144" t="s">
        <v>69</v>
      </c>
      <c r="H144">
        <v>99999</v>
      </c>
      <c r="I144" t="s">
        <v>30</v>
      </c>
      <c r="J144" t="s">
        <v>70</v>
      </c>
      <c r="K144" t="s">
        <v>32</v>
      </c>
      <c r="L144">
        <v>41821</v>
      </c>
      <c r="M144" t="s">
        <v>33</v>
      </c>
      <c r="N144" t="s">
        <v>71</v>
      </c>
      <c r="O144" t="s">
        <v>67</v>
      </c>
      <c r="P144" t="s">
        <v>68</v>
      </c>
      <c r="Q144" t="s">
        <v>69</v>
      </c>
      <c r="R144">
        <v>99999</v>
      </c>
      <c r="S144" t="s">
        <v>30</v>
      </c>
      <c r="T144" t="s">
        <v>35</v>
      </c>
      <c r="U144" t="s">
        <v>36</v>
      </c>
      <c r="V144" t="s">
        <v>37</v>
      </c>
      <c r="W144" s="3">
        <v>14</v>
      </c>
      <c r="X144">
        <v>79</v>
      </c>
      <c r="Y144" s="4">
        <v>1106</v>
      </c>
      <c r="Z144" s="3">
        <v>113.91800000000001</v>
      </c>
    </row>
    <row r="145" spans="1:26" x14ac:dyDescent="0.35">
      <c r="A145">
        <v>1159</v>
      </c>
      <c r="B145" s="2">
        <v>41796</v>
      </c>
      <c r="C145">
        <v>6</v>
      </c>
      <c r="D145" t="s">
        <v>82</v>
      </c>
      <c r="E145" t="s">
        <v>83</v>
      </c>
      <c r="F145" t="s">
        <v>84</v>
      </c>
      <c r="G145" t="s">
        <v>85</v>
      </c>
      <c r="H145">
        <v>99999</v>
      </c>
      <c r="I145" t="s">
        <v>30</v>
      </c>
      <c r="J145" t="s">
        <v>86</v>
      </c>
      <c r="K145" t="s">
        <v>61</v>
      </c>
      <c r="L145">
        <v>41798</v>
      </c>
      <c r="M145" t="s">
        <v>62</v>
      </c>
      <c r="N145" t="s">
        <v>87</v>
      </c>
      <c r="O145" t="s">
        <v>83</v>
      </c>
      <c r="P145" t="s">
        <v>84</v>
      </c>
      <c r="Q145" t="s">
        <v>85</v>
      </c>
      <c r="R145">
        <v>99999</v>
      </c>
      <c r="S145" t="s">
        <v>30</v>
      </c>
      <c r="T145" t="s">
        <v>35</v>
      </c>
      <c r="U145" t="s">
        <v>72</v>
      </c>
      <c r="V145" t="s">
        <v>73</v>
      </c>
      <c r="W145" s="3">
        <v>12.75</v>
      </c>
      <c r="X145">
        <v>44</v>
      </c>
      <c r="Y145" s="4">
        <v>561</v>
      </c>
      <c r="Z145" s="3">
        <v>57.222000000000001</v>
      </c>
    </row>
    <row r="146" spans="1:26" x14ac:dyDescent="0.35">
      <c r="A146">
        <v>1161</v>
      </c>
      <c r="B146" s="2">
        <v>41794</v>
      </c>
      <c r="C146">
        <v>4</v>
      </c>
      <c r="D146" t="s">
        <v>40</v>
      </c>
      <c r="E146" t="s">
        <v>41</v>
      </c>
      <c r="F146" t="s">
        <v>42</v>
      </c>
      <c r="G146" t="s">
        <v>43</v>
      </c>
      <c r="H146">
        <v>99999</v>
      </c>
      <c r="I146" t="s">
        <v>30</v>
      </c>
      <c r="J146" t="s">
        <v>44</v>
      </c>
      <c r="K146" t="s">
        <v>45</v>
      </c>
      <c r="L146">
        <v>41796</v>
      </c>
      <c r="M146" t="s">
        <v>46</v>
      </c>
      <c r="N146" t="s">
        <v>47</v>
      </c>
      <c r="O146" t="s">
        <v>41</v>
      </c>
      <c r="P146" t="s">
        <v>42</v>
      </c>
      <c r="Q146" t="s">
        <v>43</v>
      </c>
      <c r="R146">
        <v>99999</v>
      </c>
      <c r="S146" t="s">
        <v>30</v>
      </c>
      <c r="T146" t="s">
        <v>48</v>
      </c>
      <c r="U146" t="s">
        <v>149</v>
      </c>
      <c r="V146" t="s">
        <v>110</v>
      </c>
      <c r="W146" s="3">
        <v>81</v>
      </c>
      <c r="X146">
        <v>98</v>
      </c>
      <c r="Y146" s="4">
        <v>7938</v>
      </c>
      <c r="Z146" s="3">
        <v>769.98599999999999</v>
      </c>
    </row>
    <row r="147" spans="1:26" x14ac:dyDescent="0.35">
      <c r="A147">
        <v>1162</v>
      </c>
      <c r="B147" s="2">
        <v>41794</v>
      </c>
      <c r="C147">
        <v>4</v>
      </c>
      <c r="D147" t="s">
        <v>40</v>
      </c>
      <c r="E147" t="s">
        <v>41</v>
      </c>
      <c r="F147" t="s">
        <v>42</v>
      </c>
      <c r="G147" t="s">
        <v>43</v>
      </c>
      <c r="H147">
        <v>99999</v>
      </c>
      <c r="I147" t="s">
        <v>30</v>
      </c>
      <c r="J147" t="s">
        <v>44</v>
      </c>
      <c r="K147" t="s">
        <v>45</v>
      </c>
      <c r="L147">
        <v>41796</v>
      </c>
      <c r="M147" t="s">
        <v>46</v>
      </c>
      <c r="N147" t="s">
        <v>47</v>
      </c>
      <c r="O147" t="s">
        <v>41</v>
      </c>
      <c r="P147" t="s">
        <v>42</v>
      </c>
      <c r="Q147" t="s">
        <v>43</v>
      </c>
      <c r="R147">
        <v>99999</v>
      </c>
      <c r="S147" t="s">
        <v>30</v>
      </c>
      <c r="T147" t="s">
        <v>48</v>
      </c>
      <c r="U147" t="s">
        <v>150</v>
      </c>
      <c r="V147" t="s">
        <v>151</v>
      </c>
      <c r="W147" s="3">
        <v>7</v>
      </c>
      <c r="X147">
        <v>61</v>
      </c>
      <c r="Y147" s="4">
        <v>427</v>
      </c>
      <c r="Z147" s="3">
        <v>42.273000000000003</v>
      </c>
    </row>
    <row r="148" spans="1:26" x14ac:dyDescent="0.35">
      <c r="A148">
        <v>1164</v>
      </c>
      <c r="B148" s="2">
        <v>41798</v>
      </c>
      <c r="C148">
        <v>8</v>
      </c>
      <c r="D148" t="s">
        <v>56</v>
      </c>
      <c r="E148" t="s">
        <v>57</v>
      </c>
      <c r="F148" t="s">
        <v>58</v>
      </c>
      <c r="G148" t="s">
        <v>59</v>
      </c>
      <c r="H148">
        <v>99999</v>
      </c>
      <c r="I148" t="s">
        <v>30</v>
      </c>
      <c r="J148" t="s">
        <v>60</v>
      </c>
      <c r="K148" t="s">
        <v>61</v>
      </c>
      <c r="L148" s="2">
        <v>41800</v>
      </c>
      <c r="M148" t="s">
        <v>62</v>
      </c>
      <c r="N148" t="s">
        <v>63</v>
      </c>
      <c r="O148" t="s">
        <v>57</v>
      </c>
      <c r="P148" t="s">
        <v>58</v>
      </c>
      <c r="Q148" t="s">
        <v>59</v>
      </c>
      <c r="R148">
        <v>99999</v>
      </c>
      <c r="S148" t="s">
        <v>30</v>
      </c>
      <c r="T148" t="s">
        <v>48</v>
      </c>
      <c r="U148" t="s">
        <v>133</v>
      </c>
      <c r="V148" t="s">
        <v>134</v>
      </c>
      <c r="W148" s="3">
        <v>34.799999999999997</v>
      </c>
      <c r="X148">
        <v>30</v>
      </c>
      <c r="Y148" s="4">
        <v>1044</v>
      </c>
      <c r="Z148" s="3">
        <v>109.62</v>
      </c>
    </row>
    <row r="149" spans="1:26" x14ac:dyDescent="0.35">
      <c r="A149">
        <v>1167</v>
      </c>
      <c r="B149" s="2">
        <v>41793</v>
      </c>
      <c r="C149">
        <v>3</v>
      </c>
      <c r="D149" t="s">
        <v>74</v>
      </c>
      <c r="E149" t="s">
        <v>75</v>
      </c>
      <c r="F149" t="s">
        <v>76</v>
      </c>
      <c r="G149" t="s">
        <v>77</v>
      </c>
      <c r="H149">
        <v>99999</v>
      </c>
      <c r="I149" t="s">
        <v>30</v>
      </c>
      <c r="J149" t="s">
        <v>31</v>
      </c>
      <c r="K149" t="s">
        <v>32</v>
      </c>
      <c r="L149" s="2">
        <v>41795</v>
      </c>
      <c r="M149" t="s">
        <v>33</v>
      </c>
      <c r="N149" t="s">
        <v>78</v>
      </c>
      <c r="O149" t="s">
        <v>75</v>
      </c>
      <c r="P149" t="s">
        <v>76</v>
      </c>
      <c r="Q149" t="s">
        <v>77</v>
      </c>
      <c r="R149">
        <v>99999</v>
      </c>
      <c r="S149" t="s">
        <v>30</v>
      </c>
      <c r="T149" t="s">
        <v>79</v>
      </c>
      <c r="U149" t="s">
        <v>135</v>
      </c>
      <c r="V149" t="s">
        <v>112</v>
      </c>
      <c r="W149" s="3">
        <v>10</v>
      </c>
      <c r="X149">
        <v>24</v>
      </c>
      <c r="Y149" s="4">
        <v>240</v>
      </c>
      <c r="Z149" s="3">
        <v>25.200000000000003</v>
      </c>
    </row>
    <row r="150" spans="1:26" x14ac:dyDescent="0.35">
      <c r="A150">
        <v>1168</v>
      </c>
      <c r="B150" s="2">
        <v>41793</v>
      </c>
      <c r="C150">
        <v>3</v>
      </c>
      <c r="D150" t="s">
        <v>74</v>
      </c>
      <c r="E150" t="s">
        <v>75</v>
      </c>
      <c r="F150" t="s">
        <v>76</v>
      </c>
      <c r="G150" t="s">
        <v>77</v>
      </c>
      <c r="H150">
        <v>99999</v>
      </c>
      <c r="I150" t="s">
        <v>30</v>
      </c>
      <c r="J150" t="s">
        <v>31</v>
      </c>
      <c r="K150" t="s">
        <v>32</v>
      </c>
      <c r="L150" s="2">
        <v>41795</v>
      </c>
      <c r="M150" t="s">
        <v>33</v>
      </c>
      <c r="N150" t="s">
        <v>78</v>
      </c>
      <c r="O150" t="s">
        <v>75</v>
      </c>
      <c r="P150" t="s">
        <v>76</v>
      </c>
      <c r="Q150" t="s">
        <v>77</v>
      </c>
      <c r="R150">
        <v>99999</v>
      </c>
      <c r="S150" t="s">
        <v>30</v>
      </c>
      <c r="T150" t="s">
        <v>79</v>
      </c>
      <c r="U150" t="s">
        <v>88</v>
      </c>
      <c r="V150" t="s">
        <v>89</v>
      </c>
      <c r="W150" s="3">
        <v>40</v>
      </c>
      <c r="X150">
        <v>28</v>
      </c>
      <c r="Y150" s="4">
        <v>1120</v>
      </c>
      <c r="Z150" s="3">
        <v>109.75999999999999</v>
      </c>
    </row>
    <row r="151" spans="1:26" x14ac:dyDescent="0.35">
      <c r="A151">
        <v>1172</v>
      </c>
      <c r="B151" s="2">
        <v>41800</v>
      </c>
      <c r="C151">
        <v>10</v>
      </c>
      <c r="D151" t="s">
        <v>97</v>
      </c>
      <c r="E151" t="s">
        <v>98</v>
      </c>
      <c r="F151" t="s">
        <v>99</v>
      </c>
      <c r="G151" t="s">
        <v>100</v>
      </c>
      <c r="H151">
        <v>99999</v>
      </c>
      <c r="I151" t="s">
        <v>30</v>
      </c>
      <c r="J151" t="s">
        <v>101</v>
      </c>
      <c r="K151" t="s">
        <v>45</v>
      </c>
      <c r="L151" s="2">
        <v>41802</v>
      </c>
      <c r="M151" t="s">
        <v>33</v>
      </c>
      <c r="N151" t="s">
        <v>102</v>
      </c>
      <c r="O151" t="s">
        <v>98</v>
      </c>
      <c r="P151" t="s">
        <v>99</v>
      </c>
      <c r="Q151" t="s">
        <v>100</v>
      </c>
      <c r="R151">
        <v>99999</v>
      </c>
      <c r="S151" t="s">
        <v>30</v>
      </c>
      <c r="T151" t="s">
        <v>48</v>
      </c>
      <c r="U151" t="s">
        <v>136</v>
      </c>
      <c r="V151" t="s">
        <v>39</v>
      </c>
      <c r="W151" s="3">
        <v>10</v>
      </c>
      <c r="X151">
        <v>74</v>
      </c>
      <c r="Y151" s="4">
        <v>740</v>
      </c>
      <c r="Z151" s="3">
        <v>71.78</v>
      </c>
    </row>
    <row r="152" spans="1:26" x14ac:dyDescent="0.35">
      <c r="A152">
        <v>1174</v>
      </c>
      <c r="B152" s="2">
        <v>41800</v>
      </c>
      <c r="C152">
        <v>10</v>
      </c>
      <c r="D152" t="s">
        <v>97</v>
      </c>
      <c r="E152" t="s">
        <v>98</v>
      </c>
      <c r="F152" t="s">
        <v>99</v>
      </c>
      <c r="G152" t="s">
        <v>100</v>
      </c>
      <c r="H152">
        <v>99999</v>
      </c>
      <c r="I152" t="s">
        <v>30</v>
      </c>
      <c r="J152" t="s">
        <v>101</v>
      </c>
      <c r="K152" t="s">
        <v>45</v>
      </c>
      <c r="L152" s="2"/>
      <c r="M152" t="s">
        <v>46</v>
      </c>
      <c r="N152" t="s">
        <v>102</v>
      </c>
      <c r="O152" t="s">
        <v>98</v>
      </c>
      <c r="P152" t="s">
        <v>99</v>
      </c>
      <c r="Q152" t="s">
        <v>100</v>
      </c>
      <c r="R152">
        <v>99999</v>
      </c>
      <c r="S152" t="s">
        <v>30</v>
      </c>
      <c r="U152" t="s">
        <v>38</v>
      </c>
      <c r="V152" t="s">
        <v>39</v>
      </c>
      <c r="W152" s="3">
        <v>3.5</v>
      </c>
      <c r="X152">
        <v>90</v>
      </c>
      <c r="Y152" s="4">
        <v>315</v>
      </c>
      <c r="Z152" s="3">
        <v>30.24</v>
      </c>
    </row>
    <row r="153" spans="1:26" x14ac:dyDescent="0.35">
      <c r="A153">
        <v>1175</v>
      </c>
      <c r="B153" s="2">
        <v>41801</v>
      </c>
      <c r="C153">
        <v>11</v>
      </c>
      <c r="D153" t="s">
        <v>113</v>
      </c>
      <c r="E153" t="s">
        <v>114</v>
      </c>
      <c r="F153" t="s">
        <v>115</v>
      </c>
      <c r="G153" t="s">
        <v>116</v>
      </c>
      <c r="H153">
        <v>99999</v>
      </c>
      <c r="I153" t="s">
        <v>30</v>
      </c>
      <c r="J153" t="s">
        <v>94</v>
      </c>
      <c r="K153" t="s">
        <v>95</v>
      </c>
      <c r="L153" s="2"/>
      <c r="M153" t="s">
        <v>62</v>
      </c>
      <c r="N153" t="s">
        <v>117</v>
      </c>
      <c r="O153" t="s">
        <v>114</v>
      </c>
      <c r="P153" t="s">
        <v>115</v>
      </c>
      <c r="Q153" t="s">
        <v>116</v>
      </c>
      <c r="R153">
        <v>99999</v>
      </c>
      <c r="S153" t="s">
        <v>30</v>
      </c>
      <c r="U153" t="s">
        <v>88</v>
      </c>
      <c r="V153" t="s">
        <v>89</v>
      </c>
      <c r="W153" s="3">
        <v>40</v>
      </c>
      <c r="X153">
        <v>27</v>
      </c>
      <c r="Y153" s="4">
        <v>1080</v>
      </c>
      <c r="Z153" s="3">
        <v>111.24000000000001</v>
      </c>
    </row>
    <row r="154" spans="1:26" x14ac:dyDescent="0.35">
      <c r="A154">
        <v>1176</v>
      </c>
      <c r="B154" s="2">
        <v>41791</v>
      </c>
      <c r="C154">
        <v>1</v>
      </c>
      <c r="D154" t="s">
        <v>118</v>
      </c>
      <c r="E154" t="s">
        <v>119</v>
      </c>
      <c r="F154" t="s">
        <v>120</v>
      </c>
      <c r="G154" t="s">
        <v>121</v>
      </c>
      <c r="H154">
        <v>99999</v>
      </c>
      <c r="I154" t="s">
        <v>30</v>
      </c>
      <c r="J154" t="s">
        <v>60</v>
      </c>
      <c r="K154" t="s">
        <v>61</v>
      </c>
      <c r="L154" s="2"/>
      <c r="M154" t="s">
        <v>62</v>
      </c>
      <c r="N154" t="s">
        <v>122</v>
      </c>
      <c r="O154" t="s">
        <v>119</v>
      </c>
      <c r="P154" t="s">
        <v>120</v>
      </c>
      <c r="Q154" t="s">
        <v>121</v>
      </c>
      <c r="R154">
        <v>99999</v>
      </c>
      <c r="S154" t="s">
        <v>30</v>
      </c>
      <c r="U154" t="s">
        <v>123</v>
      </c>
      <c r="V154" t="s">
        <v>124</v>
      </c>
      <c r="W154" s="3">
        <v>18.399999999999999</v>
      </c>
      <c r="X154">
        <v>71</v>
      </c>
      <c r="Y154" s="4">
        <v>1306.3999999999999</v>
      </c>
      <c r="Z154" s="3">
        <v>137.172</v>
      </c>
    </row>
    <row r="155" spans="1:26" x14ac:dyDescent="0.35">
      <c r="A155">
        <v>1177</v>
      </c>
      <c r="B155" s="2">
        <v>41818</v>
      </c>
      <c r="C155">
        <v>28</v>
      </c>
      <c r="D155" t="s">
        <v>90</v>
      </c>
      <c r="E155" t="s">
        <v>91</v>
      </c>
      <c r="F155" t="s">
        <v>92</v>
      </c>
      <c r="G155" t="s">
        <v>93</v>
      </c>
      <c r="H155">
        <v>99999</v>
      </c>
      <c r="I155" t="s">
        <v>30</v>
      </c>
      <c r="J155" t="s">
        <v>94</v>
      </c>
      <c r="K155" t="s">
        <v>95</v>
      </c>
      <c r="L155" s="2">
        <v>41820</v>
      </c>
      <c r="M155" t="s">
        <v>62</v>
      </c>
      <c r="N155" t="s">
        <v>96</v>
      </c>
      <c r="O155" t="s">
        <v>91</v>
      </c>
      <c r="P155" t="s">
        <v>92</v>
      </c>
      <c r="Q155" t="s">
        <v>93</v>
      </c>
      <c r="R155">
        <v>99999</v>
      </c>
      <c r="S155" t="s">
        <v>30</v>
      </c>
      <c r="T155" t="s">
        <v>48</v>
      </c>
      <c r="U155" t="s">
        <v>55</v>
      </c>
      <c r="V155" t="s">
        <v>37</v>
      </c>
      <c r="W155" s="3">
        <v>46</v>
      </c>
      <c r="X155">
        <v>74</v>
      </c>
      <c r="Y155" s="4">
        <v>3404</v>
      </c>
      <c r="Z155" s="3">
        <v>340.40000000000003</v>
      </c>
    </row>
    <row r="156" spans="1:26" x14ac:dyDescent="0.35">
      <c r="A156">
        <v>1178</v>
      </c>
      <c r="B156" s="2">
        <v>41799</v>
      </c>
      <c r="C156">
        <v>9</v>
      </c>
      <c r="D156" t="s">
        <v>125</v>
      </c>
      <c r="E156" t="s">
        <v>126</v>
      </c>
      <c r="F156" t="s">
        <v>127</v>
      </c>
      <c r="G156" t="s">
        <v>128</v>
      </c>
      <c r="H156">
        <v>99999</v>
      </c>
      <c r="I156" t="s">
        <v>30</v>
      </c>
      <c r="J156" t="s">
        <v>129</v>
      </c>
      <c r="K156" t="s">
        <v>32</v>
      </c>
      <c r="L156" s="2">
        <v>41801</v>
      </c>
      <c r="M156" t="s">
        <v>46</v>
      </c>
      <c r="N156" t="s">
        <v>130</v>
      </c>
      <c r="O156" t="s">
        <v>126</v>
      </c>
      <c r="P156" t="s">
        <v>127</v>
      </c>
      <c r="Q156" t="s">
        <v>128</v>
      </c>
      <c r="R156">
        <v>99999</v>
      </c>
      <c r="S156" t="s">
        <v>30</v>
      </c>
      <c r="T156" t="s">
        <v>35</v>
      </c>
      <c r="U156" t="s">
        <v>80</v>
      </c>
      <c r="V156" t="s">
        <v>81</v>
      </c>
      <c r="W156" s="3">
        <v>9.65</v>
      </c>
      <c r="X156">
        <v>76</v>
      </c>
      <c r="Y156" s="4">
        <v>733.4</v>
      </c>
      <c r="Z156" s="3">
        <v>72.6066</v>
      </c>
    </row>
    <row r="157" spans="1:26" x14ac:dyDescent="0.35">
      <c r="A157">
        <v>1179</v>
      </c>
      <c r="B157" s="2">
        <v>41796</v>
      </c>
      <c r="C157">
        <v>6</v>
      </c>
      <c r="D157" t="s">
        <v>82</v>
      </c>
      <c r="E157" t="s">
        <v>83</v>
      </c>
      <c r="F157" t="s">
        <v>84</v>
      </c>
      <c r="G157" t="s">
        <v>85</v>
      </c>
      <c r="H157">
        <v>99999</v>
      </c>
      <c r="I157" t="s">
        <v>30</v>
      </c>
      <c r="J157" t="s">
        <v>86</v>
      </c>
      <c r="K157" t="s">
        <v>61</v>
      </c>
      <c r="L157" s="2">
        <v>41798</v>
      </c>
      <c r="M157" t="s">
        <v>33</v>
      </c>
      <c r="N157" t="s">
        <v>87</v>
      </c>
      <c r="O157" t="s">
        <v>83</v>
      </c>
      <c r="P157" t="s">
        <v>84</v>
      </c>
      <c r="Q157" t="s">
        <v>85</v>
      </c>
      <c r="R157">
        <v>99999</v>
      </c>
      <c r="S157" t="s">
        <v>30</v>
      </c>
      <c r="T157" t="s">
        <v>48</v>
      </c>
      <c r="U157" t="s">
        <v>72</v>
      </c>
      <c r="V157" t="s">
        <v>73</v>
      </c>
      <c r="W157" s="3">
        <v>12.75</v>
      </c>
      <c r="X157">
        <v>96</v>
      </c>
      <c r="Y157" s="4">
        <v>1224</v>
      </c>
      <c r="Z157" s="3">
        <v>123.62400000000001</v>
      </c>
    </row>
    <row r="158" spans="1:26" x14ac:dyDescent="0.35">
      <c r="A158">
        <v>1180</v>
      </c>
      <c r="B158" s="2">
        <v>41798</v>
      </c>
      <c r="C158">
        <v>8</v>
      </c>
      <c r="D158" t="s">
        <v>56</v>
      </c>
      <c r="E158" t="s">
        <v>57</v>
      </c>
      <c r="F158" t="s">
        <v>58</v>
      </c>
      <c r="G158" t="s">
        <v>59</v>
      </c>
      <c r="H158">
        <v>99999</v>
      </c>
      <c r="I158" t="s">
        <v>30</v>
      </c>
      <c r="J158" t="s">
        <v>60</v>
      </c>
      <c r="K158" t="s">
        <v>61</v>
      </c>
      <c r="L158" s="2">
        <v>41800</v>
      </c>
      <c r="M158" t="s">
        <v>33</v>
      </c>
      <c r="N158" t="s">
        <v>63</v>
      </c>
      <c r="O158" t="s">
        <v>57</v>
      </c>
      <c r="P158" t="s">
        <v>58</v>
      </c>
      <c r="Q158" t="s">
        <v>59</v>
      </c>
      <c r="R158">
        <v>99999</v>
      </c>
      <c r="S158" t="s">
        <v>30</v>
      </c>
      <c r="T158" t="s">
        <v>35</v>
      </c>
      <c r="U158" t="s">
        <v>72</v>
      </c>
      <c r="V158" t="s">
        <v>73</v>
      </c>
      <c r="W158" s="3">
        <v>12.75</v>
      </c>
      <c r="X158">
        <v>92</v>
      </c>
      <c r="Y158" s="4">
        <v>1173</v>
      </c>
      <c r="Z158" s="3">
        <v>116.12700000000001</v>
      </c>
    </row>
    <row r="159" spans="1:26" x14ac:dyDescent="0.35">
      <c r="A159">
        <v>1181</v>
      </c>
      <c r="B159" s="2">
        <v>41815</v>
      </c>
      <c r="C159">
        <v>25</v>
      </c>
      <c r="D159" t="s">
        <v>137</v>
      </c>
      <c r="E159" t="s">
        <v>138</v>
      </c>
      <c r="F159" t="s">
        <v>99</v>
      </c>
      <c r="G159" t="s">
        <v>100</v>
      </c>
      <c r="H159">
        <v>99999</v>
      </c>
      <c r="I159" t="s">
        <v>30</v>
      </c>
      <c r="J159" t="s">
        <v>101</v>
      </c>
      <c r="K159" t="s">
        <v>45</v>
      </c>
      <c r="L159" s="2">
        <v>41817</v>
      </c>
      <c r="M159" t="s">
        <v>46</v>
      </c>
      <c r="N159" t="s">
        <v>139</v>
      </c>
      <c r="O159" t="s">
        <v>138</v>
      </c>
      <c r="P159" t="s">
        <v>99</v>
      </c>
      <c r="Q159" t="s">
        <v>100</v>
      </c>
      <c r="R159">
        <v>99999</v>
      </c>
      <c r="S159" t="s">
        <v>30</v>
      </c>
      <c r="T159" t="s">
        <v>79</v>
      </c>
      <c r="U159" t="s">
        <v>111</v>
      </c>
      <c r="V159" t="s">
        <v>112</v>
      </c>
      <c r="W159" s="3">
        <v>22</v>
      </c>
      <c r="X159">
        <v>93</v>
      </c>
      <c r="Y159" s="4">
        <v>2046</v>
      </c>
      <c r="Z159" s="3">
        <v>200.50800000000001</v>
      </c>
    </row>
    <row r="160" spans="1:26" x14ac:dyDescent="0.35">
      <c r="A160">
        <v>1182</v>
      </c>
      <c r="B160" s="2">
        <v>41816</v>
      </c>
      <c r="C160">
        <v>26</v>
      </c>
      <c r="D160" t="s">
        <v>140</v>
      </c>
      <c r="E160" t="s">
        <v>141</v>
      </c>
      <c r="F160" t="s">
        <v>115</v>
      </c>
      <c r="G160" t="s">
        <v>116</v>
      </c>
      <c r="H160">
        <v>99999</v>
      </c>
      <c r="I160" t="s">
        <v>30</v>
      </c>
      <c r="J160" t="s">
        <v>94</v>
      </c>
      <c r="K160" t="s">
        <v>95</v>
      </c>
      <c r="L160" s="2">
        <v>41818</v>
      </c>
      <c r="M160" t="s">
        <v>62</v>
      </c>
      <c r="N160" t="s">
        <v>142</v>
      </c>
      <c r="O160" t="s">
        <v>141</v>
      </c>
      <c r="P160" t="s">
        <v>115</v>
      </c>
      <c r="Q160" t="s">
        <v>116</v>
      </c>
      <c r="R160">
        <v>99999</v>
      </c>
      <c r="S160" t="s">
        <v>30</v>
      </c>
      <c r="T160" t="s">
        <v>48</v>
      </c>
      <c r="U160" t="s">
        <v>109</v>
      </c>
      <c r="V160" t="s">
        <v>110</v>
      </c>
      <c r="W160" s="3">
        <v>25</v>
      </c>
      <c r="X160">
        <v>18</v>
      </c>
      <c r="Y160" s="4">
        <v>450</v>
      </c>
      <c r="Z160" s="3">
        <v>42.75</v>
      </c>
    </row>
    <row r="161" spans="1:26" x14ac:dyDescent="0.35">
      <c r="A161">
        <v>1183</v>
      </c>
      <c r="B161" s="2">
        <v>41819</v>
      </c>
      <c r="C161">
        <v>29</v>
      </c>
      <c r="D161" t="s">
        <v>66</v>
      </c>
      <c r="E161" t="s">
        <v>67</v>
      </c>
      <c r="F161" t="s">
        <v>68</v>
      </c>
      <c r="G161" t="s">
        <v>69</v>
      </c>
      <c r="H161">
        <v>99999</v>
      </c>
      <c r="I161" t="s">
        <v>30</v>
      </c>
      <c r="J161" t="s">
        <v>70</v>
      </c>
      <c r="K161" t="s">
        <v>32</v>
      </c>
      <c r="L161" s="2">
        <v>41821</v>
      </c>
      <c r="M161" t="s">
        <v>33</v>
      </c>
      <c r="N161" t="s">
        <v>71</v>
      </c>
      <c r="O161" t="s">
        <v>67</v>
      </c>
      <c r="P161" t="s">
        <v>68</v>
      </c>
      <c r="Q161" t="s">
        <v>69</v>
      </c>
      <c r="R161">
        <v>99999</v>
      </c>
      <c r="S161" t="s">
        <v>30</v>
      </c>
      <c r="T161" t="s">
        <v>35</v>
      </c>
      <c r="U161" t="s">
        <v>143</v>
      </c>
      <c r="V161" t="s">
        <v>144</v>
      </c>
      <c r="W161">
        <v>39</v>
      </c>
      <c r="X161">
        <v>98</v>
      </c>
      <c r="Y161" s="4">
        <v>3822</v>
      </c>
      <c r="Z161" s="3">
        <v>397.48800000000006</v>
      </c>
    </row>
    <row r="162" spans="1:26" x14ac:dyDescent="0.35">
      <c r="A162">
        <v>1184</v>
      </c>
      <c r="B162" s="2">
        <v>41796</v>
      </c>
      <c r="C162">
        <v>6</v>
      </c>
      <c r="D162" t="s">
        <v>82</v>
      </c>
      <c r="E162" t="s">
        <v>83</v>
      </c>
      <c r="F162" t="s">
        <v>84</v>
      </c>
      <c r="G162" t="s">
        <v>85</v>
      </c>
      <c r="H162">
        <v>99999</v>
      </c>
      <c r="I162" t="s">
        <v>30</v>
      </c>
      <c r="J162" t="s">
        <v>86</v>
      </c>
      <c r="K162" t="s">
        <v>61</v>
      </c>
      <c r="L162" s="2">
        <v>41798</v>
      </c>
      <c r="M162" t="s">
        <v>62</v>
      </c>
      <c r="N162" t="s">
        <v>87</v>
      </c>
      <c r="O162" t="s">
        <v>83</v>
      </c>
      <c r="P162" t="s">
        <v>84</v>
      </c>
      <c r="Q162" t="s">
        <v>85</v>
      </c>
      <c r="R162">
        <v>99999</v>
      </c>
      <c r="S162" t="s">
        <v>30</v>
      </c>
      <c r="T162" t="s">
        <v>35</v>
      </c>
      <c r="U162" t="s">
        <v>49</v>
      </c>
      <c r="V162" t="s">
        <v>39</v>
      </c>
      <c r="W162">
        <v>30</v>
      </c>
      <c r="X162">
        <v>46</v>
      </c>
      <c r="Y162" s="4">
        <v>1380</v>
      </c>
      <c r="Z162" s="3">
        <v>135.24</v>
      </c>
    </row>
    <row r="163" spans="1:26" x14ac:dyDescent="0.35">
      <c r="A163">
        <v>1185</v>
      </c>
      <c r="B163" s="2">
        <v>41796</v>
      </c>
      <c r="C163">
        <v>6</v>
      </c>
      <c r="D163" t="s">
        <v>82</v>
      </c>
      <c r="E163" t="s">
        <v>83</v>
      </c>
      <c r="F163" t="s">
        <v>84</v>
      </c>
      <c r="G163" t="s">
        <v>85</v>
      </c>
      <c r="H163">
        <v>99999</v>
      </c>
      <c r="I163" t="s">
        <v>30</v>
      </c>
      <c r="J163" t="s">
        <v>86</v>
      </c>
      <c r="K163" t="s">
        <v>61</v>
      </c>
      <c r="L163" s="2">
        <v>41798</v>
      </c>
      <c r="M163" t="s">
        <v>62</v>
      </c>
      <c r="N163" t="s">
        <v>87</v>
      </c>
      <c r="O163" t="s">
        <v>83</v>
      </c>
      <c r="P163" t="s">
        <v>84</v>
      </c>
      <c r="Q163" t="s">
        <v>85</v>
      </c>
      <c r="R163">
        <v>99999</v>
      </c>
      <c r="S163" t="s">
        <v>30</v>
      </c>
      <c r="T163" t="s">
        <v>35</v>
      </c>
      <c r="U163" t="s">
        <v>50</v>
      </c>
      <c r="V163" t="s">
        <v>39</v>
      </c>
      <c r="W163">
        <v>53</v>
      </c>
      <c r="X163">
        <v>14</v>
      </c>
      <c r="Y163" s="4">
        <v>742</v>
      </c>
      <c r="Z163" s="3">
        <v>74.2</v>
      </c>
    </row>
    <row r="164" spans="1:26" x14ac:dyDescent="0.35">
      <c r="A164">
        <v>1186</v>
      </c>
      <c r="B164" s="2">
        <v>41794</v>
      </c>
      <c r="C164">
        <v>4</v>
      </c>
      <c r="D164" t="s">
        <v>40</v>
      </c>
      <c r="E164" t="s">
        <v>41</v>
      </c>
      <c r="F164" t="s">
        <v>42</v>
      </c>
      <c r="G164" t="s">
        <v>43</v>
      </c>
      <c r="H164">
        <v>99999</v>
      </c>
      <c r="I164" t="s">
        <v>30</v>
      </c>
      <c r="J164" t="s">
        <v>44</v>
      </c>
      <c r="K164" t="s">
        <v>45</v>
      </c>
      <c r="L164" s="2"/>
      <c r="N164" t="s">
        <v>47</v>
      </c>
      <c r="O164" t="s">
        <v>41</v>
      </c>
      <c r="P164" t="s">
        <v>42</v>
      </c>
      <c r="Q164" t="s">
        <v>43</v>
      </c>
      <c r="R164">
        <v>99999</v>
      </c>
      <c r="S164" t="s">
        <v>30</v>
      </c>
      <c r="U164" t="s">
        <v>145</v>
      </c>
      <c r="V164" t="s">
        <v>132</v>
      </c>
      <c r="W164">
        <v>38</v>
      </c>
      <c r="X164">
        <v>85</v>
      </c>
      <c r="Y164" s="4">
        <v>3230</v>
      </c>
      <c r="Z164" s="3">
        <v>319.77</v>
      </c>
    </row>
    <row r="165" spans="1:26" x14ac:dyDescent="0.35">
      <c r="A165">
        <v>1187</v>
      </c>
      <c r="B165" s="2">
        <v>41793</v>
      </c>
      <c r="C165">
        <v>3</v>
      </c>
      <c r="D165" t="s">
        <v>74</v>
      </c>
      <c r="E165" t="s">
        <v>75</v>
      </c>
      <c r="F165" t="s">
        <v>76</v>
      </c>
      <c r="G165" t="s">
        <v>77</v>
      </c>
      <c r="H165">
        <v>99999</v>
      </c>
      <c r="I165" t="s">
        <v>30</v>
      </c>
      <c r="J165" t="s">
        <v>31</v>
      </c>
      <c r="K165" t="s">
        <v>32</v>
      </c>
      <c r="L165" s="2"/>
      <c r="N165" t="s">
        <v>78</v>
      </c>
      <c r="O165" t="s">
        <v>75</v>
      </c>
      <c r="P165" t="s">
        <v>76</v>
      </c>
      <c r="Q165" t="s">
        <v>77</v>
      </c>
      <c r="R165">
        <v>99999</v>
      </c>
      <c r="S165" t="s">
        <v>30</v>
      </c>
      <c r="U165" t="s">
        <v>103</v>
      </c>
      <c r="V165" t="s">
        <v>37</v>
      </c>
      <c r="W165">
        <v>2.99</v>
      </c>
      <c r="X165">
        <v>88</v>
      </c>
      <c r="Y165" s="4">
        <v>263.12</v>
      </c>
      <c r="Z165" s="3">
        <v>25.522639999999999</v>
      </c>
    </row>
    <row r="166" spans="1:26" x14ac:dyDescent="0.35">
      <c r="A166">
        <v>1188</v>
      </c>
      <c r="B166" s="2">
        <v>41821</v>
      </c>
      <c r="C166">
        <v>1</v>
      </c>
      <c r="D166" t="s">
        <v>118</v>
      </c>
      <c r="E166" t="s">
        <v>119</v>
      </c>
      <c r="F166" t="s">
        <v>120</v>
      </c>
      <c r="G166" t="s">
        <v>121</v>
      </c>
      <c r="H166">
        <v>99999</v>
      </c>
      <c r="I166" t="s">
        <v>30</v>
      </c>
      <c r="J166" t="s">
        <v>60</v>
      </c>
      <c r="K166" t="s">
        <v>61</v>
      </c>
      <c r="L166" s="2"/>
      <c r="N166" t="s">
        <v>122</v>
      </c>
      <c r="O166" t="s">
        <v>119</v>
      </c>
      <c r="P166" t="s">
        <v>120</v>
      </c>
      <c r="Q166" t="s">
        <v>121</v>
      </c>
      <c r="R166">
        <v>99999</v>
      </c>
      <c r="S166" t="s">
        <v>30</v>
      </c>
      <c r="U166" t="s">
        <v>103</v>
      </c>
      <c r="V166" t="s">
        <v>37</v>
      </c>
      <c r="W166">
        <v>2.99</v>
      </c>
      <c r="X166">
        <v>81</v>
      </c>
      <c r="Y166" s="4">
        <v>242.19000000000003</v>
      </c>
      <c r="Z166" s="3">
        <v>23.976810000000004</v>
      </c>
    </row>
    <row r="167" spans="1:26" x14ac:dyDescent="0.35">
      <c r="A167">
        <v>1189</v>
      </c>
      <c r="B167" s="2">
        <v>41848</v>
      </c>
      <c r="C167">
        <v>28</v>
      </c>
      <c r="D167" t="s">
        <v>90</v>
      </c>
      <c r="E167" t="s">
        <v>91</v>
      </c>
      <c r="F167" t="s">
        <v>92</v>
      </c>
      <c r="G167" t="s">
        <v>93</v>
      </c>
      <c r="H167">
        <v>99999</v>
      </c>
      <c r="I167" t="s">
        <v>30</v>
      </c>
      <c r="J167" t="s">
        <v>94</v>
      </c>
      <c r="K167" t="s">
        <v>95</v>
      </c>
      <c r="L167" s="2">
        <v>41850</v>
      </c>
      <c r="M167" t="s">
        <v>62</v>
      </c>
      <c r="N167" t="s">
        <v>96</v>
      </c>
      <c r="O167" t="s">
        <v>91</v>
      </c>
      <c r="P167" t="s">
        <v>92</v>
      </c>
      <c r="Q167" t="s">
        <v>93</v>
      </c>
      <c r="R167">
        <v>99999</v>
      </c>
      <c r="S167" t="s">
        <v>30</v>
      </c>
      <c r="T167" t="s">
        <v>48</v>
      </c>
      <c r="U167" t="s">
        <v>80</v>
      </c>
      <c r="V167" t="s">
        <v>81</v>
      </c>
      <c r="W167">
        <v>9.65</v>
      </c>
      <c r="X167">
        <v>33</v>
      </c>
      <c r="Y167" s="4">
        <v>318.45</v>
      </c>
      <c r="Z167" s="3">
        <v>30.252749999999999</v>
      </c>
    </row>
    <row r="168" spans="1:26" x14ac:dyDescent="0.35">
      <c r="A168">
        <v>1190</v>
      </c>
      <c r="B168" s="2">
        <v>41848</v>
      </c>
      <c r="C168">
        <v>28</v>
      </c>
      <c r="D168" t="s">
        <v>90</v>
      </c>
      <c r="E168" t="s">
        <v>91</v>
      </c>
      <c r="F168" t="s">
        <v>92</v>
      </c>
      <c r="G168" t="s">
        <v>93</v>
      </c>
      <c r="H168">
        <v>99999</v>
      </c>
      <c r="I168" t="s">
        <v>30</v>
      </c>
      <c r="J168" t="s">
        <v>94</v>
      </c>
      <c r="K168" t="s">
        <v>95</v>
      </c>
      <c r="L168" s="2">
        <v>41850</v>
      </c>
      <c r="M168" t="s">
        <v>62</v>
      </c>
      <c r="N168" t="s">
        <v>96</v>
      </c>
      <c r="O168" t="s">
        <v>91</v>
      </c>
      <c r="P168" t="s">
        <v>92</v>
      </c>
      <c r="Q168" t="s">
        <v>93</v>
      </c>
      <c r="R168">
        <v>99999</v>
      </c>
      <c r="S168" t="s">
        <v>30</v>
      </c>
      <c r="T168" t="s">
        <v>48</v>
      </c>
      <c r="U168" t="s">
        <v>123</v>
      </c>
      <c r="V168" t="s">
        <v>124</v>
      </c>
      <c r="W168">
        <v>18.399999999999999</v>
      </c>
      <c r="X168">
        <v>47</v>
      </c>
      <c r="Y168" s="4">
        <v>864.8</v>
      </c>
      <c r="Z168" s="3">
        <v>90.804000000000002</v>
      </c>
    </row>
    <row r="169" spans="1:26" x14ac:dyDescent="0.35">
      <c r="A169">
        <v>1191</v>
      </c>
      <c r="B169" s="2">
        <v>41829</v>
      </c>
      <c r="C169">
        <v>9</v>
      </c>
      <c r="D169" t="s">
        <v>125</v>
      </c>
      <c r="E169" t="s">
        <v>126</v>
      </c>
      <c r="F169" t="s">
        <v>127</v>
      </c>
      <c r="G169" t="s">
        <v>128</v>
      </c>
      <c r="H169">
        <v>99999</v>
      </c>
      <c r="I169" t="s">
        <v>30</v>
      </c>
      <c r="J169" t="s">
        <v>129</v>
      </c>
      <c r="K169" t="s">
        <v>32</v>
      </c>
      <c r="L169" s="2">
        <v>41831</v>
      </c>
      <c r="M169" t="s">
        <v>46</v>
      </c>
      <c r="N169" t="s">
        <v>130</v>
      </c>
      <c r="O169" t="s">
        <v>126</v>
      </c>
      <c r="P169" t="s">
        <v>127</v>
      </c>
      <c r="Q169" t="s">
        <v>128</v>
      </c>
      <c r="R169">
        <v>99999</v>
      </c>
      <c r="S169" t="s">
        <v>30</v>
      </c>
      <c r="T169" t="s">
        <v>35</v>
      </c>
      <c r="U169" t="s">
        <v>131</v>
      </c>
      <c r="V169" t="s">
        <v>132</v>
      </c>
      <c r="W169">
        <v>19.5</v>
      </c>
      <c r="X169">
        <v>61</v>
      </c>
      <c r="Y169" s="4">
        <v>1189.5</v>
      </c>
      <c r="Z169" s="3">
        <v>123.70800000000001</v>
      </c>
    </row>
    <row r="170" spans="1:26" x14ac:dyDescent="0.35">
      <c r="A170">
        <v>1192</v>
      </c>
      <c r="B170" s="2">
        <v>41829</v>
      </c>
      <c r="C170">
        <v>9</v>
      </c>
      <c r="D170" t="s">
        <v>125</v>
      </c>
      <c r="E170" t="s">
        <v>126</v>
      </c>
      <c r="F170" t="s">
        <v>127</v>
      </c>
      <c r="G170" t="s">
        <v>128</v>
      </c>
      <c r="H170">
        <v>99999</v>
      </c>
      <c r="I170" t="s">
        <v>30</v>
      </c>
      <c r="J170" t="s">
        <v>129</v>
      </c>
      <c r="K170" t="s">
        <v>32</v>
      </c>
      <c r="L170" s="2">
        <v>41831</v>
      </c>
      <c r="M170" t="s">
        <v>46</v>
      </c>
      <c r="N170" t="s">
        <v>130</v>
      </c>
      <c r="O170" t="s">
        <v>126</v>
      </c>
      <c r="P170" t="s">
        <v>127</v>
      </c>
      <c r="Q170" t="s">
        <v>128</v>
      </c>
      <c r="R170">
        <v>99999</v>
      </c>
      <c r="S170" t="s">
        <v>30</v>
      </c>
      <c r="T170" t="s">
        <v>35</v>
      </c>
      <c r="U170" t="s">
        <v>133</v>
      </c>
      <c r="V170" t="s">
        <v>134</v>
      </c>
      <c r="W170">
        <v>34.799999999999997</v>
      </c>
      <c r="X170">
        <v>27</v>
      </c>
      <c r="Y170" s="4">
        <v>939.59999999999991</v>
      </c>
      <c r="Z170" s="3">
        <v>95.839199999999991</v>
      </c>
    </row>
    <row r="171" spans="1:26" x14ac:dyDescent="0.35">
      <c r="A171">
        <v>1193</v>
      </c>
      <c r="B171" s="2">
        <v>41826</v>
      </c>
      <c r="C171">
        <v>6</v>
      </c>
      <c r="D171" t="s">
        <v>82</v>
      </c>
      <c r="E171" t="s">
        <v>83</v>
      </c>
      <c r="F171" t="s">
        <v>84</v>
      </c>
      <c r="G171" t="s">
        <v>85</v>
      </c>
      <c r="H171">
        <v>99999</v>
      </c>
      <c r="I171" t="s">
        <v>30</v>
      </c>
      <c r="J171" t="s">
        <v>86</v>
      </c>
      <c r="K171" t="s">
        <v>61</v>
      </c>
      <c r="L171" s="2">
        <v>41828</v>
      </c>
      <c r="M171" t="s">
        <v>33</v>
      </c>
      <c r="N171" t="s">
        <v>87</v>
      </c>
      <c r="O171" t="s">
        <v>83</v>
      </c>
      <c r="P171" t="s">
        <v>84</v>
      </c>
      <c r="Q171" t="s">
        <v>85</v>
      </c>
      <c r="R171">
        <v>99999</v>
      </c>
      <c r="S171" t="s">
        <v>30</v>
      </c>
      <c r="T171" t="s">
        <v>48</v>
      </c>
      <c r="U171" t="s">
        <v>36</v>
      </c>
      <c r="V171" t="s">
        <v>37</v>
      </c>
      <c r="W171">
        <v>14</v>
      </c>
      <c r="X171">
        <v>84</v>
      </c>
      <c r="Y171" s="4">
        <v>1176</v>
      </c>
      <c r="Z171" s="3">
        <v>118.77600000000001</v>
      </c>
    </row>
    <row r="172" spans="1:26" x14ac:dyDescent="0.35">
      <c r="A172">
        <v>1194</v>
      </c>
      <c r="B172" s="2">
        <v>41828</v>
      </c>
      <c r="C172">
        <v>8</v>
      </c>
      <c r="D172" t="s">
        <v>56</v>
      </c>
      <c r="E172" t="s">
        <v>57</v>
      </c>
      <c r="F172" t="s">
        <v>58</v>
      </c>
      <c r="G172" t="s">
        <v>59</v>
      </c>
      <c r="H172">
        <v>99999</v>
      </c>
      <c r="I172" t="s">
        <v>30</v>
      </c>
      <c r="J172" t="s">
        <v>60</v>
      </c>
      <c r="K172" t="s">
        <v>61</v>
      </c>
      <c r="L172" s="2">
        <v>41830</v>
      </c>
      <c r="M172" t="s">
        <v>33</v>
      </c>
      <c r="N172" t="s">
        <v>63</v>
      </c>
      <c r="O172" t="s">
        <v>57</v>
      </c>
      <c r="P172" t="s">
        <v>58</v>
      </c>
      <c r="Q172" t="s">
        <v>59</v>
      </c>
      <c r="R172">
        <v>99999</v>
      </c>
      <c r="S172" t="s">
        <v>30</v>
      </c>
      <c r="T172" t="s">
        <v>35</v>
      </c>
      <c r="U172" t="s">
        <v>88</v>
      </c>
      <c r="V172" t="s">
        <v>89</v>
      </c>
      <c r="W172">
        <v>40</v>
      </c>
      <c r="X172">
        <v>91</v>
      </c>
      <c r="Y172" s="4">
        <v>3640</v>
      </c>
      <c r="Z172" s="3">
        <v>360.36</v>
      </c>
    </row>
    <row r="173" spans="1:26" x14ac:dyDescent="0.35">
      <c r="A173">
        <v>1195</v>
      </c>
      <c r="B173" s="2">
        <v>41828</v>
      </c>
      <c r="C173">
        <v>8</v>
      </c>
      <c r="D173" t="s">
        <v>56</v>
      </c>
      <c r="E173" t="s">
        <v>57</v>
      </c>
      <c r="F173" t="s">
        <v>58</v>
      </c>
      <c r="G173" t="s">
        <v>59</v>
      </c>
      <c r="H173">
        <v>99999</v>
      </c>
      <c r="I173" t="s">
        <v>30</v>
      </c>
      <c r="J173" t="s">
        <v>60</v>
      </c>
      <c r="K173" t="s">
        <v>61</v>
      </c>
      <c r="L173" s="2">
        <v>41830</v>
      </c>
      <c r="M173" t="s">
        <v>33</v>
      </c>
      <c r="N173" t="s">
        <v>63</v>
      </c>
      <c r="O173" t="s">
        <v>57</v>
      </c>
      <c r="P173" t="s">
        <v>58</v>
      </c>
      <c r="Q173" t="s">
        <v>59</v>
      </c>
      <c r="R173">
        <v>99999</v>
      </c>
      <c r="S173" t="s">
        <v>30</v>
      </c>
      <c r="T173" t="s">
        <v>35</v>
      </c>
      <c r="U173" t="s">
        <v>64</v>
      </c>
      <c r="V173" t="s">
        <v>65</v>
      </c>
      <c r="W173">
        <v>9.1999999999999993</v>
      </c>
      <c r="X173">
        <v>36</v>
      </c>
      <c r="Y173" s="4">
        <v>331.2</v>
      </c>
      <c r="Z173" s="3">
        <v>34.444800000000001</v>
      </c>
    </row>
    <row r="174" spans="1:26" x14ac:dyDescent="0.35">
      <c r="A174">
        <v>1196</v>
      </c>
      <c r="B174" s="2">
        <v>41845</v>
      </c>
      <c r="C174">
        <v>25</v>
      </c>
      <c r="D174" t="s">
        <v>137</v>
      </c>
      <c r="E174" t="s">
        <v>138</v>
      </c>
      <c r="F174" t="s">
        <v>99</v>
      </c>
      <c r="G174" t="s">
        <v>100</v>
      </c>
      <c r="H174">
        <v>99999</v>
      </c>
      <c r="I174" t="s">
        <v>30</v>
      </c>
      <c r="J174" t="s">
        <v>101</v>
      </c>
      <c r="K174" t="s">
        <v>45</v>
      </c>
      <c r="L174">
        <v>41847</v>
      </c>
      <c r="M174" t="s">
        <v>46</v>
      </c>
      <c r="N174" t="s">
        <v>139</v>
      </c>
      <c r="O174" t="s">
        <v>138</v>
      </c>
      <c r="P174" t="s">
        <v>99</v>
      </c>
      <c r="Q174" t="s">
        <v>100</v>
      </c>
      <c r="R174">
        <v>99999</v>
      </c>
      <c r="S174" t="s">
        <v>30</v>
      </c>
      <c r="T174" t="s">
        <v>79</v>
      </c>
      <c r="U174" t="s">
        <v>146</v>
      </c>
      <c r="V174" t="s">
        <v>65</v>
      </c>
      <c r="W174">
        <v>10</v>
      </c>
      <c r="X174">
        <v>34</v>
      </c>
      <c r="Y174" s="4">
        <v>340</v>
      </c>
      <c r="Z174" s="3">
        <v>34.340000000000003</v>
      </c>
    </row>
    <row r="175" spans="1:26" x14ac:dyDescent="0.35">
      <c r="A175">
        <v>1197</v>
      </c>
      <c r="B175" s="2">
        <v>41846</v>
      </c>
      <c r="C175">
        <v>26</v>
      </c>
      <c r="D175" t="s">
        <v>140</v>
      </c>
      <c r="E175" t="s">
        <v>141</v>
      </c>
      <c r="F175" t="s">
        <v>115</v>
      </c>
      <c r="G175" t="s">
        <v>116</v>
      </c>
      <c r="H175">
        <v>99999</v>
      </c>
      <c r="I175" t="s">
        <v>30</v>
      </c>
      <c r="J175" t="s">
        <v>94</v>
      </c>
      <c r="K175" t="s">
        <v>95</v>
      </c>
      <c r="L175">
        <v>41848</v>
      </c>
      <c r="M175" t="s">
        <v>62</v>
      </c>
      <c r="N175" t="s">
        <v>142</v>
      </c>
      <c r="O175" t="s">
        <v>141</v>
      </c>
      <c r="P175" t="s">
        <v>115</v>
      </c>
      <c r="Q175" t="s">
        <v>116</v>
      </c>
      <c r="R175">
        <v>99999</v>
      </c>
      <c r="S175" t="s">
        <v>30</v>
      </c>
      <c r="T175" t="s">
        <v>48</v>
      </c>
      <c r="U175" t="s">
        <v>147</v>
      </c>
      <c r="V175" t="s">
        <v>148</v>
      </c>
      <c r="W175">
        <v>21.35</v>
      </c>
      <c r="X175">
        <v>81</v>
      </c>
      <c r="Y175" s="4">
        <v>1729.3500000000001</v>
      </c>
      <c r="Z175" s="3">
        <v>178.12305000000003</v>
      </c>
    </row>
    <row r="176" spans="1:26" x14ac:dyDescent="0.35">
      <c r="A176">
        <v>1198</v>
      </c>
      <c r="B176" s="2">
        <v>41846</v>
      </c>
      <c r="C176">
        <v>26</v>
      </c>
      <c r="D176" t="s">
        <v>140</v>
      </c>
      <c r="E176" t="s">
        <v>141</v>
      </c>
      <c r="F176" t="s">
        <v>115</v>
      </c>
      <c r="G176" t="s">
        <v>116</v>
      </c>
      <c r="H176">
        <v>99999</v>
      </c>
      <c r="I176" t="s">
        <v>30</v>
      </c>
      <c r="J176" t="s">
        <v>94</v>
      </c>
      <c r="K176" t="s">
        <v>95</v>
      </c>
      <c r="L176">
        <v>41848</v>
      </c>
      <c r="M176" t="s">
        <v>62</v>
      </c>
      <c r="N176" t="s">
        <v>142</v>
      </c>
      <c r="O176" t="s">
        <v>141</v>
      </c>
      <c r="P176" t="s">
        <v>115</v>
      </c>
      <c r="Q176" t="s">
        <v>116</v>
      </c>
      <c r="R176">
        <v>99999</v>
      </c>
      <c r="S176" t="s">
        <v>30</v>
      </c>
      <c r="T176" t="s">
        <v>48</v>
      </c>
      <c r="U176" t="s">
        <v>80</v>
      </c>
      <c r="V176" t="s">
        <v>81</v>
      </c>
      <c r="W176">
        <v>9.65</v>
      </c>
      <c r="X176">
        <v>25</v>
      </c>
      <c r="Y176" s="4">
        <v>241.25</v>
      </c>
      <c r="Z176" s="3">
        <v>23.401250000000001</v>
      </c>
    </row>
    <row r="177" spans="1:26" x14ac:dyDescent="0.35">
      <c r="A177">
        <v>1199</v>
      </c>
      <c r="B177" s="2">
        <v>41846</v>
      </c>
      <c r="C177">
        <v>26</v>
      </c>
      <c r="D177" t="s">
        <v>140</v>
      </c>
      <c r="E177" t="s">
        <v>141</v>
      </c>
      <c r="F177" t="s">
        <v>115</v>
      </c>
      <c r="G177" t="s">
        <v>116</v>
      </c>
      <c r="H177">
        <v>99999</v>
      </c>
      <c r="I177" t="s">
        <v>30</v>
      </c>
      <c r="J177" t="s">
        <v>94</v>
      </c>
      <c r="K177" t="s">
        <v>95</v>
      </c>
      <c r="L177">
        <v>41848</v>
      </c>
      <c r="M177" t="s">
        <v>62</v>
      </c>
      <c r="N177" t="s">
        <v>142</v>
      </c>
      <c r="O177" t="s">
        <v>141</v>
      </c>
      <c r="P177" t="s">
        <v>115</v>
      </c>
      <c r="Q177" t="s">
        <v>116</v>
      </c>
      <c r="R177">
        <v>99999</v>
      </c>
      <c r="S177" t="s">
        <v>30</v>
      </c>
      <c r="T177" t="s">
        <v>48</v>
      </c>
      <c r="U177" t="s">
        <v>123</v>
      </c>
      <c r="V177" t="s">
        <v>124</v>
      </c>
      <c r="W177">
        <v>18.399999999999999</v>
      </c>
      <c r="X177">
        <v>12</v>
      </c>
      <c r="Y177" s="4">
        <v>220.79999999999998</v>
      </c>
      <c r="Z177" s="3">
        <v>22.08</v>
      </c>
    </row>
    <row r="178" spans="1:26" x14ac:dyDescent="0.35">
      <c r="A178">
        <v>1200</v>
      </c>
      <c r="B178" s="2">
        <v>41849</v>
      </c>
      <c r="C178">
        <v>29</v>
      </c>
      <c r="D178" t="s">
        <v>66</v>
      </c>
      <c r="E178" t="s">
        <v>67</v>
      </c>
      <c r="F178" t="s">
        <v>68</v>
      </c>
      <c r="G178" t="s">
        <v>69</v>
      </c>
      <c r="H178">
        <v>99999</v>
      </c>
      <c r="I178" t="s">
        <v>30</v>
      </c>
      <c r="J178" t="s">
        <v>70</v>
      </c>
      <c r="K178" t="s">
        <v>32</v>
      </c>
      <c r="L178" s="2">
        <v>41851</v>
      </c>
      <c r="M178" t="s">
        <v>33</v>
      </c>
      <c r="N178" t="s">
        <v>71</v>
      </c>
      <c r="O178" t="s">
        <v>67</v>
      </c>
      <c r="P178" t="s">
        <v>68</v>
      </c>
      <c r="Q178" t="s">
        <v>69</v>
      </c>
      <c r="R178">
        <v>99999</v>
      </c>
      <c r="S178" t="s">
        <v>30</v>
      </c>
      <c r="T178" t="s">
        <v>35</v>
      </c>
      <c r="U178" t="s">
        <v>36</v>
      </c>
      <c r="V178" t="s">
        <v>37</v>
      </c>
      <c r="W178">
        <v>14</v>
      </c>
      <c r="X178">
        <v>23</v>
      </c>
      <c r="Y178" s="4">
        <v>322</v>
      </c>
      <c r="Z178" s="3">
        <v>30.912000000000003</v>
      </c>
    </row>
    <row r="179" spans="1:26" x14ac:dyDescent="0.35">
      <c r="A179">
        <v>1201</v>
      </c>
      <c r="B179" s="2">
        <v>41826</v>
      </c>
      <c r="C179">
        <v>6</v>
      </c>
      <c r="D179" t="s">
        <v>82</v>
      </c>
      <c r="E179" t="s">
        <v>83</v>
      </c>
      <c r="F179" t="s">
        <v>84</v>
      </c>
      <c r="G179" t="s">
        <v>85</v>
      </c>
      <c r="H179">
        <v>99999</v>
      </c>
      <c r="I179" t="s">
        <v>30</v>
      </c>
      <c r="J179" t="s">
        <v>86</v>
      </c>
      <c r="K179" t="s">
        <v>61</v>
      </c>
      <c r="L179" s="2">
        <v>41828</v>
      </c>
      <c r="M179" t="s">
        <v>62</v>
      </c>
      <c r="N179" t="s">
        <v>87</v>
      </c>
      <c r="O179" t="s">
        <v>83</v>
      </c>
      <c r="P179" t="s">
        <v>84</v>
      </c>
      <c r="Q179" t="s">
        <v>85</v>
      </c>
      <c r="R179">
        <v>99999</v>
      </c>
      <c r="S179" t="s">
        <v>30</v>
      </c>
      <c r="T179" t="s">
        <v>35</v>
      </c>
      <c r="U179" t="s">
        <v>72</v>
      </c>
      <c r="V179" t="s">
        <v>73</v>
      </c>
      <c r="W179">
        <v>12.75</v>
      </c>
      <c r="X179">
        <v>76</v>
      </c>
      <c r="Y179" s="4">
        <v>969</v>
      </c>
      <c r="Z179" s="3">
        <v>97.869</v>
      </c>
    </row>
    <row r="180" spans="1:26" x14ac:dyDescent="0.35">
      <c r="A180">
        <v>1203</v>
      </c>
      <c r="B180" s="2">
        <v>41824</v>
      </c>
      <c r="C180">
        <v>4</v>
      </c>
      <c r="D180" t="s">
        <v>40</v>
      </c>
      <c r="E180" t="s">
        <v>41</v>
      </c>
      <c r="F180" t="s">
        <v>42</v>
      </c>
      <c r="G180" t="s">
        <v>43</v>
      </c>
      <c r="H180">
        <v>99999</v>
      </c>
      <c r="I180" t="s">
        <v>30</v>
      </c>
      <c r="J180" t="s">
        <v>44</v>
      </c>
      <c r="K180" t="s">
        <v>45</v>
      </c>
      <c r="L180" s="2">
        <v>41826</v>
      </c>
      <c r="M180" t="s">
        <v>46</v>
      </c>
      <c r="N180" t="s">
        <v>47</v>
      </c>
      <c r="O180" t="s">
        <v>41</v>
      </c>
      <c r="P180" t="s">
        <v>42</v>
      </c>
      <c r="Q180" t="s">
        <v>43</v>
      </c>
      <c r="R180">
        <v>99999</v>
      </c>
      <c r="S180" t="s">
        <v>30</v>
      </c>
      <c r="T180" t="s">
        <v>48</v>
      </c>
      <c r="U180" t="s">
        <v>149</v>
      </c>
      <c r="V180" t="s">
        <v>110</v>
      </c>
      <c r="W180">
        <v>81</v>
      </c>
      <c r="X180">
        <v>55</v>
      </c>
      <c r="Y180" s="4">
        <v>4455</v>
      </c>
      <c r="Z180" s="3">
        <v>445.5</v>
      </c>
    </row>
    <row r="181" spans="1:26" x14ac:dyDescent="0.35">
      <c r="A181">
        <v>1204</v>
      </c>
      <c r="B181" s="2">
        <v>41824</v>
      </c>
      <c r="C181">
        <v>4</v>
      </c>
      <c r="D181" t="s">
        <v>40</v>
      </c>
      <c r="E181" t="s">
        <v>41</v>
      </c>
      <c r="F181" t="s">
        <v>42</v>
      </c>
      <c r="G181" t="s">
        <v>43</v>
      </c>
      <c r="H181">
        <v>99999</v>
      </c>
      <c r="I181" t="s">
        <v>30</v>
      </c>
      <c r="J181" t="s">
        <v>44</v>
      </c>
      <c r="K181" t="s">
        <v>45</v>
      </c>
      <c r="L181" s="2">
        <v>41826</v>
      </c>
      <c r="M181" t="s">
        <v>46</v>
      </c>
      <c r="N181" t="s">
        <v>47</v>
      </c>
      <c r="O181" t="s">
        <v>41</v>
      </c>
      <c r="P181" t="s">
        <v>42</v>
      </c>
      <c r="Q181" t="s">
        <v>43</v>
      </c>
      <c r="R181">
        <v>99999</v>
      </c>
      <c r="S181" t="s">
        <v>30</v>
      </c>
      <c r="T181" t="s">
        <v>48</v>
      </c>
      <c r="U181" t="s">
        <v>150</v>
      </c>
      <c r="V181" t="s">
        <v>151</v>
      </c>
      <c r="W181">
        <v>7</v>
      </c>
      <c r="X181">
        <v>19</v>
      </c>
      <c r="Y181" s="4">
        <v>133</v>
      </c>
      <c r="Z181" s="3">
        <v>12.901</v>
      </c>
    </row>
    <row r="182" spans="1:26" x14ac:dyDescent="0.35">
      <c r="A182">
        <v>1206</v>
      </c>
      <c r="B182" s="2">
        <v>41828</v>
      </c>
      <c r="C182">
        <v>8</v>
      </c>
      <c r="D182" t="s">
        <v>56</v>
      </c>
      <c r="E182" t="s">
        <v>57</v>
      </c>
      <c r="F182" t="s">
        <v>58</v>
      </c>
      <c r="G182" t="s">
        <v>59</v>
      </c>
      <c r="H182">
        <v>99999</v>
      </c>
      <c r="I182" t="s">
        <v>30</v>
      </c>
      <c r="J182" t="s">
        <v>60</v>
      </c>
      <c r="K182" t="s">
        <v>61</v>
      </c>
      <c r="L182" s="2">
        <v>41830</v>
      </c>
      <c r="M182" t="s">
        <v>62</v>
      </c>
      <c r="N182" t="s">
        <v>63</v>
      </c>
      <c r="O182" t="s">
        <v>57</v>
      </c>
      <c r="P182" t="s">
        <v>58</v>
      </c>
      <c r="Q182" t="s">
        <v>59</v>
      </c>
      <c r="R182">
        <v>99999</v>
      </c>
      <c r="S182" t="s">
        <v>30</v>
      </c>
      <c r="T182" t="s">
        <v>48</v>
      </c>
      <c r="U182" t="s">
        <v>133</v>
      </c>
      <c r="V182" t="s">
        <v>134</v>
      </c>
      <c r="W182">
        <v>34.799999999999997</v>
      </c>
      <c r="X182">
        <v>27</v>
      </c>
      <c r="Y182" s="4">
        <v>939.59999999999991</v>
      </c>
      <c r="Z182" s="3">
        <v>89.261999999999986</v>
      </c>
    </row>
    <row r="183" spans="1:26" x14ac:dyDescent="0.35">
      <c r="A183">
        <v>1209</v>
      </c>
      <c r="B183" s="2">
        <v>41823</v>
      </c>
      <c r="C183">
        <v>3</v>
      </c>
      <c r="D183" t="s">
        <v>74</v>
      </c>
      <c r="E183" t="s">
        <v>75</v>
      </c>
      <c r="F183" t="s">
        <v>76</v>
      </c>
      <c r="G183" t="s">
        <v>77</v>
      </c>
      <c r="H183">
        <v>99999</v>
      </c>
      <c r="I183" t="s">
        <v>30</v>
      </c>
      <c r="J183" t="s">
        <v>31</v>
      </c>
      <c r="K183" t="s">
        <v>32</v>
      </c>
      <c r="L183" s="2">
        <v>41825</v>
      </c>
      <c r="M183" t="s">
        <v>33</v>
      </c>
      <c r="N183" t="s">
        <v>78</v>
      </c>
      <c r="O183" t="s">
        <v>75</v>
      </c>
      <c r="P183" t="s">
        <v>76</v>
      </c>
      <c r="Q183" t="s">
        <v>77</v>
      </c>
      <c r="R183">
        <v>99999</v>
      </c>
      <c r="S183" t="s">
        <v>30</v>
      </c>
      <c r="T183" t="s">
        <v>79</v>
      </c>
      <c r="U183" t="s">
        <v>135</v>
      </c>
      <c r="V183" t="s">
        <v>112</v>
      </c>
      <c r="W183">
        <v>10</v>
      </c>
      <c r="X183">
        <v>99</v>
      </c>
      <c r="Y183" s="4">
        <v>990</v>
      </c>
      <c r="Z183" s="3">
        <v>95.039999999999992</v>
      </c>
    </row>
    <row r="184" spans="1:26" x14ac:dyDescent="0.35">
      <c r="A184">
        <v>1210</v>
      </c>
      <c r="B184" s="2">
        <v>41823</v>
      </c>
      <c r="C184">
        <v>3</v>
      </c>
      <c r="D184" t="s">
        <v>74</v>
      </c>
      <c r="E184" t="s">
        <v>75</v>
      </c>
      <c r="F184" t="s">
        <v>76</v>
      </c>
      <c r="G184" t="s">
        <v>77</v>
      </c>
      <c r="H184">
        <v>99999</v>
      </c>
      <c r="I184" t="s">
        <v>30</v>
      </c>
      <c r="J184" t="s">
        <v>31</v>
      </c>
      <c r="K184" t="s">
        <v>32</v>
      </c>
      <c r="L184" s="2">
        <v>41825</v>
      </c>
      <c r="M184" t="s">
        <v>33</v>
      </c>
      <c r="N184" t="s">
        <v>78</v>
      </c>
      <c r="O184" t="s">
        <v>75</v>
      </c>
      <c r="P184" t="s">
        <v>76</v>
      </c>
      <c r="Q184" t="s">
        <v>77</v>
      </c>
      <c r="R184">
        <v>99999</v>
      </c>
      <c r="S184" t="s">
        <v>30</v>
      </c>
      <c r="T184" t="s">
        <v>79</v>
      </c>
      <c r="U184" t="s">
        <v>88</v>
      </c>
      <c r="V184" t="s">
        <v>89</v>
      </c>
      <c r="W184">
        <v>40</v>
      </c>
      <c r="X184">
        <v>10</v>
      </c>
      <c r="Y184" s="4">
        <v>400</v>
      </c>
      <c r="Z184" s="3">
        <v>40</v>
      </c>
    </row>
    <row r="185" spans="1:26" x14ac:dyDescent="0.35">
      <c r="A185">
        <v>1214</v>
      </c>
      <c r="B185" s="2">
        <v>41830</v>
      </c>
      <c r="C185">
        <v>10</v>
      </c>
      <c r="D185" t="s">
        <v>97</v>
      </c>
      <c r="E185" t="s">
        <v>98</v>
      </c>
      <c r="F185" t="s">
        <v>99</v>
      </c>
      <c r="G185" t="s">
        <v>100</v>
      </c>
      <c r="H185">
        <v>99999</v>
      </c>
      <c r="I185" t="s">
        <v>30</v>
      </c>
      <c r="J185" t="s">
        <v>101</v>
      </c>
      <c r="K185" t="s">
        <v>45</v>
      </c>
      <c r="L185" s="2">
        <v>41832</v>
      </c>
      <c r="M185" t="s">
        <v>33</v>
      </c>
      <c r="N185" t="s">
        <v>102</v>
      </c>
      <c r="O185" t="s">
        <v>98</v>
      </c>
      <c r="P185" t="s">
        <v>99</v>
      </c>
      <c r="Q185" t="s">
        <v>100</v>
      </c>
      <c r="R185">
        <v>99999</v>
      </c>
      <c r="S185" t="s">
        <v>30</v>
      </c>
      <c r="T185" t="s">
        <v>48</v>
      </c>
      <c r="U185" t="s">
        <v>136</v>
      </c>
      <c r="V185" t="s">
        <v>39</v>
      </c>
      <c r="W185">
        <v>10</v>
      </c>
      <c r="X185">
        <v>80</v>
      </c>
      <c r="Y185" s="4">
        <v>800</v>
      </c>
      <c r="Z185" s="3">
        <v>77.599999999999994</v>
      </c>
    </row>
    <row r="186" spans="1:26" x14ac:dyDescent="0.35">
      <c r="A186">
        <v>1216</v>
      </c>
      <c r="B186" s="2">
        <v>41830</v>
      </c>
      <c r="C186">
        <v>10</v>
      </c>
      <c r="D186" t="s">
        <v>97</v>
      </c>
      <c r="E186" t="s">
        <v>98</v>
      </c>
      <c r="F186" t="s">
        <v>99</v>
      </c>
      <c r="G186" t="s">
        <v>100</v>
      </c>
      <c r="H186">
        <v>99999</v>
      </c>
      <c r="I186" t="s">
        <v>30</v>
      </c>
      <c r="J186" t="s">
        <v>101</v>
      </c>
      <c r="K186" t="s">
        <v>45</v>
      </c>
      <c r="L186" s="2"/>
      <c r="M186" t="s">
        <v>46</v>
      </c>
      <c r="N186" t="s">
        <v>102</v>
      </c>
      <c r="O186" t="s">
        <v>98</v>
      </c>
      <c r="P186" t="s">
        <v>99</v>
      </c>
      <c r="Q186" t="s">
        <v>100</v>
      </c>
      <c r="R186">
        <v>99999</v>
      </c>
      <c r="S186" t="s">
        <v>30</v>
      </c>
      <c r="U186" t="s">
        <v>38</v>
      </c>
      <c r="V186" t="s">
        <v>39</v>
      </c>
      <c r="W186">
        <v>3.5</v>
      </c>
      <c r="X186">
        <v>27</v>
      </c>
      <c r="Y186" s="4">
        <v>94.5</v>
      </c>
      <c r="Z186" s="3">
        <v>9.072000000000001</v>
      </c>
    </row>
    <row r="187" spans="1:26" x14ac:dyDescent="0.35">
      <c r="A187">
        <v>1217</v>
      </c>
      <c r="B187" s="2">
        <v>41831</v>
      </c>
      <c r="C187">
        <v>11</v>
      </c>
      <c r="D187" t="s">
        <v>113</v>
      </c>
      <c r="E187" t="s">
        <v>114</v>
      </c>
      <c r="F187" t="s">
        <v>115</v>
      </c>
      <c r="G187" t="s">
        <v>116</v>
      </c>
      <c r="H187">
        <v>99999</v>
      </c>
      <c r="I187" t="s">
        <v>30</v>
      </c>
      <c r="J187" t="s">
        <v>94</v>
      </c>
      <c r="K187" t="s">
        <v>95</v>
      </c>
      <c r="M187" t="s">
        <v>62</v>
      </c>
      <c r="N187" t="s">
        <v>117</v>
      </c>
      <c r="O187" t="s">
        <v>114</v>
      </c>
      <c r="P187" t="s">
        <v>115</v>
      </c>
      <c r="Q187" t="s">
        <v>116</v>
      </c>
      <c r="R187">
        <v>99999</v>
      </c>
      <c r="S187" t="s">
        <v>30</v>
      </c>
      <c r="U187" t="s">
        <v>88</v>
      </c>
      <c r="V187" t="s">
        <v>89</v>
      </c>
      <c r="W187">
        <v>40</v>
      </c>
      <c r="X187">
        <v>97</v>
      </c>
      <c r="Y187" s="4">
        <v>3880</v>
      </c>
      <c r="Z187" s="3">
        <v>380.24</v>
      </c>
    </row>
    <row r="188" spans="1:26" x14ac:dyDescent="0.35">
      <c r="A188">
        <v>1218</v>
      </c>
      <c r="B188" s="2">
        <v>41821</v>
      </c>
      <c r="C188">
        <v>1</v>
      </c>
      <c r="D188" t="s">
        <v>118</v>
      </c>
      <c r="E188" t="s">
        <v>119</v>
      </c>
      <c r="F188" t="s">
        <v>120</v>
      </c>
      <c r="G188" t="s">
        <v>121</v>
      </c>
      <c r="H188">
        <v>99999</v>
      </c>
      <c r="I188" t="s">
        <v>30</v>
      </c>
      <c r="J188" t="s">
        <v>60</v>
      </c>
      <c r="K188" t="s">
        <v>61</v>
      </c>
      <c r="M188" t="s">
        <v>62</v>
      </c>
      <c r="N188" t="s">
        <v>122</v>
      </c>
      <c r="O188" t="s">
        <v>119</v>
      </c>
      <c r="P188" t="s">
        <v>120</v>
      </c>
      <c r="Q188" t="s">
        <v>121</v>
      </c>
      <c r="R188">
        <v>99999</v>
      </c>
      <c r="S188" t="s">
        <v>30</v>
      </c>
      <c r="U188" t="s">
        <v>123</v>
      </c>
      <c r="V188" t="s">
        <v>124</v>
      </c>
      <c r="W188">
        <v>18.399999999999999</v>
      </c>
      <c r="X188">
        <v>42</v>
      </c>
      <c r="Y188" s="4">
        <v>772.8</v>
      </c>
      <c r="Z188" s="3">
        <v>80.371200000000002</v>
      </c>
    </row>
    <row r="189" spans="1:26" x14ac:dyDescent="0.35">
      <c r="A189">
        <v>1219</v>
      </c>
      <c r="B189" s="2">
        <v>41848</v>
      </c>
      <c r="C189">
        <v>28</v>
      </c>
      <c r="D189" t="s">
        <v>90</v>
      </c>
      <c r="E189" t="s">
        <v>91</v>
      </c>
      <c r="F189" t="s">
        <v>92</v>
      </c>
      <c r="G189" t="s">
        <v>93</v>
      </c>
      <c r="H189">
        <v>99999</v>
      </c>
      <c r="I189" t="s">
        <v>30</v>
      </c>
      <c r="J189" t="s">
        <v>94</v>
      </c>
      <c r="K189" t="s">
        <v>95</v>
      </c>
      <c r="L189">
        <v>41850</v>
      </c>
      <c r="M189" t="s">
        <v>62</v>
      </c>
      <c r="N189" t="s">
        <v>96</v>
      </c>
      <c r="O189" t="s">
        <v>91</v>
      </c>
      <c r="P189" t="s">
        <v>92</v>
      </c>
      <c r="Q189" t="s">
        <v>93</v>
      </c>
      <c r="R189">
        <v>99999</v>
      </c>
      <c r="S189" t="s">
        <v>30</v>
      </c>
      <c r="T189" t="s">
        <v>48</v>
      </c>
      <c r="U189" t="s">
        <v>55</v>
      </c>
      <c r="V189" t="s">
        <v>37</v>
      </c>
      <c r="W189" s="3">
        <v>46</v>
      </c>
      <c r="X189">
        <v>24</v>
      </c>
      <c r="Y189" s="4">
        <v>1104</v>
      </c>
      <c r="Z189" s="3">
        <v>105.98399999999999</v>
      </c>
    </row>
    <row r="190" spans="1:26" x14ac:dyDescent="0.35">
      <c r="A190">
        <v>1220</v>
      </c>
      <c r="B190" s="2">
        <v>41829</v>
      </c>
      <c r="C190">
        <v>9</v>
      </c>
      <c r="D190" t="s">
        <v>125</v>
      </c>
      <c r="E190" t="s">
        <v>126</v>
      </c>
      <c r="F190" t="s">
        <v>127</v>
      </c>
      <c r="G190" t="s">
        <v>128</v>
      </c>
      <c r="H190">
        <v>99999</v>
      </c>
      <c r="I190" t="s">
        <v>30</v>
      </c>
      <c r="J190" t="s">
        <v>129</v>
      </c>
      <c r="K190" t="s">
        <v>32</v>
      </c>
      <c r="L190" s="2">
        <v>41831</v>
      </c>
      <c r="M190" t="s">
        <v>46</v>
      </c>
      <c r="N190" t="s">
        <v>130</v>
      </c>
      <c r="O190" t="s">
        <v>126</v>
      </c>
      <c r="P190" t="s">
        <v>127</v>
      </c>
      <c r="Q190" t="s">
        <v>128</v>
      </c>
      <c r="R190">
        <v>99999</v>
      </c>
      <c r="S190" t="s">
        <v>30</v>
      </c>
      <c r="T190" t="s">
        <v>35</v>
      </c>
      <c r="U190" t="s">
        <v>80</v>
      </c>
      <c r="V190" t="s">
        <v>81</v>
      </c>
      <c r="W190" s="3">
        <v>9.65</v>
      </c>
      <c r="X190">
        <v>90</v>
      </c>
      <c r="Y190" s="4">
        <v>868.5</v>
      </c>
      <c r="Z190" s="3">
        <v>83.376000000000005</v>
      </c>
    </row>
    <row r="191" spans="1:26" x14ac:dyDescent="0.35">
      <c r="A191">
        <v>1221</v>
      </c>
      <c r="B191" s="2">
        <v>41826</v>
      </c>
      <c r="C191">
        <v>6</v>
      </c>
      <c r="D191" t="s">
        <v>82</v>
      </c>
      <c r="E191" t="s">
        <v>83</v>
      </c>
      <c r="F191" t="s">
        <v>84</v>
      </c>
      <c r="G191" t="s">
        <v>85</v>
      </c>
      <c r="H191">
        <v>99999</v>
      </c>
      <c r="I191" t="s">
        <v>30</v>
      </c>
      <c r="J191" t="s">
        <v>86</v>
      </c>
      <c r="K191" t="s">
        <v>61</v>
      </c>
      <c r="L191" s="2">
        <v>41828</v>
      </c>
      <c r="M191" t="s">
        <v>33</v>
      </c>
      <c r="N191" t="s">
        <v>87</v>
      </c>
      <c r="O191" t="s">
        <v>83</v>
      </c>
      <c r="P191" t="s">
        <v>84</v>
      </c>
      <c r="Q191" t="s">
        <v>85</v>
      </c>
      <c r="R191">
        <v>99999</v>
      </c>
      <c r="S191" t="s">
        <v>30</v>
      </c>
      <c r="T191" t="s">
        <v>48</v>
      </c>
      <c r="U191" t="s">
        <v>72</v>
      </c>
      <c r="V191" t="s">
        <v>73</v>
      </c>
      <c r="W191" s="3">
        <v>12.75</v>
      </c>
      <c r="X191">
        <v>28</v>
      </c>
      <c r="Y191" s="4">
        <v>357</v>
      </c>
      <c r="Z191" s="3">
        <v>35.700000000000003</v>
      </c>
    </row>
    <row r="192" spans="1:26" x14ac:dyDescent="0.35">
      <c r="A192">
        <v>1222</v>
      </c>
      <c r="B192" s="2">
        <v>41879</v>
      </c>
      <c r="C192">
        <v>28</v>
      </c>
      <c r="D192" t="s">
        <v>90</v>
      </c>
      <c r="E192" t="s">
        <v>91</v>
      </c>
      <c r="F192" t="s">
        <v>92</v>
      </c>
      <c r="G192" t="s">
        <v>93</v>
      </c>
      <c r="H192">
        <v>99999</v>
      </c>
      <c r="I192" t="s">
        <v>30</v>
      </c>
      <c r="J192" t="s">
        <v>94</v>
      </c>
      <c r="K192" t="s">
        <v>95</v>
      </c>
      <c r="L192" s="2">
        <v>41881</v>
      </c>
      <c r="M192" t="s">
        <v>62</v>
      </c>
      <c r="N192" t="s">
        <v>96</v>
      </c>
      <c r="O192" t="s">
        <v>91</v>
      </c>
      <c r="P192" t="s">
        <v>92</v>
      </c>
      <c r="Q192" t="s">
        <v>93</v>
      </c>
      <c r="R192">
        <v>99999</v>
      </c>
      <c r="S192" t="s">
        <v>30</v>
      </c>
      <c r="T192" t="s">
        <v>35</v>
      </c>
      <c r="U192" t="s">
        <v>55</v>
      </c>
      <c r="V192" t="s">
        <v>37</v>
      </c>
      <c r="W192" s="3">
        <v>46</v>
      </c>
      <c r="X192">
        <v>28</v>
      </c>
      <c r="Y192" s="4">
        <v>1288</v>
      </c>
      <c r="Z192" s="3">
        <v>133.95200000000003</v>
      </c>
    </row>
    <row r="193" spans="1:26" x14ac:dyDescent="0.35">
      <c r="A193">
        <v>1223</v>
      </c>
      <c r="B193" s="2">
        <v>41859</v>
      </c>
      <c r="C193">
        <v>8</v>
      </c>
      <c r="D193" t="s">
        <v>56</v>
      </c>
      <c r="E193" t="s">
        <v>57</v>
      </c>
      <c r="F193" t="s">
        <v>58</v>
      </c>
      <c r="G193" t="s">
        <v>59</v>
      </c>
      <c r="H193">
        <v>99999</v>
      </c>
      <c r="I193" t="s">
        <v>30</v>
      </c>
      <c r="J193" t="s">
        <v>60</v>
      </c>
      <c r="K193" t="s">
        <v>61</v>
      </c>
      <c r="L193" s="2">
        <v>41861</v>
      </c>
      <c r="M193" t="s">
        <v>62</v>
      </c>
      <c r="N193" t="s">
        <v>63</v>
      </c>
      <c r="O193" t="s">
        <v>57</v>
      </c>
      <c r="P193" t="s">
        <v>58</v>
      </c>
      <c r="Q193" t="s">
        <v>59</v>
      </c>
      <c r="R193">
        <v>99999</v>
      </c>
      <c r="S193" t="s">
        <v>30</v>
      </c>
      <c r="T193" t="s">
        <v>35</v>
      </c>
      <c r="U193" t="s">
        <v>72</v>
      </c>
      <c r="V193" t="s">
        <v>73</v>
      </c>
      <c r="W193" s="3">
        <v>12.75</v>
      </c>
      <c r="X193">
        <v>57</v>
      </c>
      <c r="Y193" s="4">
        <v>726.75</v>
      </c>
      <c r="Z193" s="3">
        <v>69.768000000000001</v>
      </c>
    </row>
    <row r="194" spans="1:26" x14ac:dyDescent="0.35">
      <c r="A194">
        <v>1224</v>
      </c>
      <c r="B194" s="2">
        <v>41861</v>
      </c>
      <c r="C194">
        <v>10</v>
      </c>
      <c r="D194" t="s">
        <v>97</v>
      </c>
      <c r="E194" t="s">
        <v>98</v>
      </c>
      <c r="F194" t="s">
        <v>99</v>
      </c>
      <c r="G194" t="s">
        <v>100</v>
      </c>
      <c r="H194">
        <v>99999</v>
      </c>
      <c r="I194" t="s">
        <v>30</v>
      </c>
      <c r="J194" t="s">
        <v>101</v>
      </c>
      <c r="K194" t="s">
        <v>45</v>
      </c>
      <c r="L194" s="2">
        <v>41863</v>
      </c>
      <c r="M194" t="s">
        <v>33</v>
      </c>
      <c r="N194" t="s">
        <v>102</v>
      </c>
      <c r="O194" t="s">
        <v>98</v>
      </c>
      <c r="P194" t="s">
        <v>99</v>
      </c>
      <c r="Q194" t="s">
        <v>100</v>
      </c>
      <c r="R194">
        <v>99999</v>
      </c>
      <c r="S194" t="s">
        <v>30</v>
      </c>
      <c r="T194" t="s">
        <v>48</v>
      </c>
      <c r="U194" t="s">
        <v>103</v>
      </c>
      <c r="V194" t="s">
        <v>37</v>
      </c>
      <c r="W194" s="3">
        <v>2.99</v>
      </c>
      <c r="X194">
        <v>23</v>
      </c>
      <c r="Y194" s="4">
        <v>68.77000000000001</v>
      </c>
      <c r="Z194" s="3">
        <v>6.6706900000000013</v>
      </c>
    </row>
    <row r="195" spans="1:26" x14ac:dyDescent="0.35">
      <c r="A195">
        <v>1225</v>
      </c>
      <c r="B195" s="2">
        <v>41858</v>
      </c>
      <c r="C195">
        <v>7</v>
      </c>
      <c r="D195" t="s">
        <v>104</v>
      </c>
      <c r="E195" t="s">
        <v>105</v>
      </c>
      <c r="F195" t="s">
        <v>106</v>
      </c>
      <c r="G195" t="s">
        <v>107</v>
      </c>
      <c r="H195">
        <v>99999</v>
      </c>
      <c r="I195" t="s">
        <v>30</v>
      </c>
      <c r="J195" t="s">
        <v>60</v>
      </c>
      <c r="K195" t="s">
        <v>61</v>
      </c>
      <c r="L195" s="2"/>
      <c r="N195" t="s">
        <v>108</v>
      </c>
      <c r="O195" t="s">
        <v>105</v>
      </c>
      <c r="P195" t="s">
        <v>106</v>
      </c>
      <c r="Q195" t="s">
        <v>107</v>
      </c>
      <c r="R195">
        <v>99999</v>
      </c>
      <c r="S195" t="s">
        <v>30</v>
      </c>
      <c r="U195" t="s">
        <v>55</v>
      </c>
      <c r="V195" t="s">
        <v>37</v>
      </c>
      <c r="W195" s="3">
        <v>46</v>
      </c>
      <c r="X195">
        <v>86</v>
      </c>
      <c r="Y195" s="4">
        <v>3956</v>
      </c>
      <c r="Z195" s="3">
        <v>399.55600000000004</v>
      </c>
    </row>
    <row r="196" spans="1:26" x14ac:dyDescent="0.35">
      <c r="A196">
        <v>1226</v>
      </c>
      <c r="B196" s="2">
        <v>41861</v>
      </c>
      <c r="C196">
        <v>10</v>
      </c>
      <c r="D196" t="s">
        <v>97</v>
      </c>
      <c r="E196" t="s">
        <v>98</v>
      </c>
      <c r="F196" t="s">
        <v>99</v>
      </c>
      <c r="G196" t="s">
        <v>100</v>
      </c>
      <c r="H196">
        <v>99999</v>
      </c>
      <c r="I196" t="s">
        <v>30</v>
      </c>
      <c r="J196" t="s">
        <v>101</v>
      </c>
      <c r="K196" t="s">
        <v>45</v>
      </c>
      <c r="L196" s="2">
        <v>41863</v>
      </c>
      <c r="M196" t="s">
        <v>46</v>
      </c>
      <c r="N196" t="s">
        <v>102</v>
      </c>
      <c r="O196" t="s">
        <v>98</v>
      </c>
      <c r="P196" t="s">
        <v>99</v>
      </c>
      <c r="Q196" t="s">
        <v>100</v>
      </c>
      <c r="R196">
        <v>99999</v>
      </c>
      <c r="S196" t="s">
        <v>30</v>
      </c>
      <c r="U196" t="s">
        <v>109</v>
      </c>
      <c r="V196" t="s">
        <v>110</v>
      </c>
      <c r="W196" s="3">
        <v>25</v>
      </c>
      <c r="X196">
        <v>47</v>
      </c>
      <c r="Y196" s="4">
        <v>1175</v>
      </c>
      <c r="Z196" s="3">
        <v>116.325</v>
      </c>
    </row>
    <row r="197" spans="1:26" x14ac:dyDescent="0.35">
      <c r="A197">
        <v>1227</v>
      </c>
      <c r="B197" s="2">
        <v>41861</v>
      </c>
      <c r="C197">
        <v>10</v>
      </c>
      <c r="D197" t="s">
        <v>97</v>
      </c>
      <c r="E197" t="s">
        <v>98</v>
      </c>
      <c r="F197" t="s">
        <v>99</v>
      </c>
      <c r="G197" t="s">
        <v>100</v>
      </c>
      <c r="H197">
        <v>99999</v>
      </c>
      <c r="I197" t="s">
        <v>30</v>
      </c>
      <c r="J197" t="s">
        <v>101</v>
      </c>
      <c r="K197" t="s">
        <v>45</v>
      </c>
      <c r="L197" s="2">
        <v>41863</v>
      </c>
      <c r="M197" t="s">
        <v>46</v>
      </c>
      <c r="N197" t="s">
        <v>102</v>
      </c>
      <c r="O197" t="s">
        <v>98</v>
      </c>
      <c r="P197" t="s">
        <v>99</v>
      </c>
      <c r="Q197" t="s">
        <v>100</v>
      </c>
      <c r="R197">
        <v>99999</v>
      </c>
      <c r="S197" t="s">
        <v>30</v>
      </c>
      <c r="U197" t="s">
        <v>111</v>
      </c>
      <c r="V197" t="s">
        <v>112</v>
      </c>
      <c r="W197" s="3">
        <v>22</v>
      </c>
      <c r="X197">
        <v>97</v>
      </c>
      <c r="Y197" s="4">
        <v>2134</v>
      </c>
      <c r="Z197" s="3">
        <v>221.93600000000001</v>
      </c>
    </row>
    <row r="198" spans="1:26" x14ac:dyDescent="0.35">
      <c r="A198">
        <v>1228</v>
      </c>
      <c r="B198" s="2">
        <v>41861</v>
      </c>
      <c r="C198">
        <v>10</v>
      </c>
      <c r="D198" t="s">
        <v>97</v>
      </c>
      <c r="E198" t="s">
        <v>98</v>
      </c>
      <c r="F198" t="s">
        <v>99</v>
      </c>
      <c r="G198" t="s">
        <v>100</v>
      </c>
      <c r="H198">
        <v>99999</v>
      </c>
      <c r="I198" t="s">
        <v>30</v>
      </c>
      <c r="J198" t="s">
        <v>101</v>
      </c>
      <c r="K198" t="s">
        <v>45</v>
      </c>
      <c r="L198" s="2">
        <v>41863</v>
      </c>
      <c r="M198" t="s">
        <v>46</v>
      </c>
      <c r="N198" t="s">
        <v>102</v>
      </c>
      <c r="O198" t="s">
        <v>98</v>
      </c>
      <c r="P198" t="s">
        <v>99</v>
      </c>
      <c r="Q198" t="s">
        <v>100</v>
      </c>
      <c r="R198">
        <v>99999</v>
      </c>
      <c r="S198" t="s">
        <v>30</v>
      </c>
      <c r="U198" t="s">
        <v>64</v>
      </c>
      <c r="V198" t="s">
        <v>65</v>
      </c>
      <c r="W198" s="3">
        <v>9.1999999999999993</v>
      </c>
      <c r="X198">
        <v>96</v>
      </c>
      <c r="Y198" s="4">
        <v>883.19999999999993</v>
      </c>
      <c r="Z198" s="3">
        <v>86.553599999999989</v>
      </c>
    </row>
    <row r="199" spans="1:26" x14ac:dyDescent="0.35">
      <c r="A199">
        <v>1229</v>
      </c>
      <c r="B199" s="2">
        <v>41862</v>
      </c>
      <c r="C199">
        <v>11</v>
      </c>
      <c r="D199" t="s">
        <v>113</v>
      </c>
      <c r="E199" t="s">
        <v>114</v>
      </c>
      <c r="F199" t="s">
        <v>115</v>
      </c>
      <c r="G199" t="s">
        <v>116</v>
      </c>
      <c r="H199">
        <v>99999</v>
      </c>
      <c r="I199" t="s">
        <v>30</v>
      </c>
      <c r="J199" t="s">
        <v>94</v>
      </c>
      <c r="K199" t="s">
        <v>95</v>
      </c>
      <c r="L199" s="2"/>
      <c r="M199" t="s">
        <v>62</v>
      </c>
      <c r="N199" t="s">
        <v>117</v>
      </c>
      <c r="O199" t="s">
        <v>114</v>
      </c>
      <c r="P199" t="s">
        <v>115</v>
      </c>
      <c r="Q199" t="s">
        <v>116</v>
      </c>
      <c r="R199">
        <v>99999</v>
      </c>
      <c r="S199" t="s">
        <v>30</v>
      </c>
      <c r="U199" t="s">
        <v>38</v>
      </c>
      <c r="V199" t="s">
        <v>39</v>
      </c>
      <c r="W199" s="3">
        <v>3.5</v>
      </c>
      <c r="X199">
        <v>31</v>
      </c>
      <c r="Y199" s="4">
        <v>108.5</v>
      </c>
      <c r="Z199" s="3">
        <v>10.850000000000001</v>
      </c>
    </row>
    <row r="200" spans="1:26" x14ac:dyDescent="0.35">
      <c r="A200">
        <v>1230</v>
      </c>
      <c r="B200" s="2">
        <v>41862</v>
      </c>
      <c r="C200">
        <v>11</v>
      </c>
      <c r="D200" t="s">
        <v>113</v>
      </c>
      <c r="E200" t="s">
        <v>114</v>
      </c>
      <c r="F200" t="s">
        <v>115</v>
      </c>
      <c r="G200" t="s">
        <v>116</v>
      </c>
      <c r="H200">
        <v>99999</v>
      </c>
      <c r="I200" t="s">
        <v>30</v>
      </c>
      <c r="J200" t="s">
        <v>94</v>
      </c>
      <c r="K200" t="s">
        <v>95</v>
      </c>
      <c r="L200" s="2"/>
      <c r="M200" t="s">
        <v>62</v>
      </c>
      <c r="N200" t="s">
        <v>117</v>
      </c>
      <c r="O200" t="s">
        <v>114</v>
      </c>
      <c r="P200" t="s">
        <v>115</v>
      </c>
      <c r="Q200" t="s">
        <v>116</v>
      </c>
      <c r="R200">
        <v>99999</v>
      </c>
      <c r="S200" t="s">
        <v>30</v>
      </c>
      <c r="U200" t="s">
        <v>103</v>
      </c>
      <c r="V200" t="s">
        <v>37</v>
      </c>
      <c r="W200" s="3">
        <v>2.99</v>
      </c>
      <c r="X200">
        <v>52</v>
      </c>
      <c r="Y200" s="4">
        <v>155.48000000000002</v>
      </c>
      <c r="Z200" s="3">
        <v>16.014440000000004</v>
      </c>
    </row>
    <row r="201" spans="1:26" x14ac:dyDescent="0.35">
      <c r="A201">
        <v>1231</v>
      </c>
      <c r="B201" s="2">
        <v>41852</v>
      </c>
      <c r="C201">
        <v>1</v>
      </c>
      <c r="D201" t="s">
        <v>118</v>
      </c>
      <c r="E201" t="s">
        <v>119</v>
      </c>
      <c r="F201" t="s">
        <v>120</v>
      </c>
      <c r="G201" t="s">
        <v>121</v>
      </c>
      <c r="H201">
        <v>99999</v>
      </c>
      <c r="I201" t="s">
        <v>30</v>
      </c>
      <c r="J201" t="s">
        <v>60</v>
      </c>
      <c r="K201" t="s">
        <v>61</v>
      </c>
      <c r="L201" s="2"/>
      <c r="N201" t="s">
        <v>122</v>
      </c>
      <c r="O201" t="s">
        <v>119</v>
      </c>
      <c r="P201" t="s">
        <v>120</v>
      </c>
      <c r="Q201" t="s">
        <v>121</v>
      </c>
      <c r="R201">
        <v>99999</v>
      </c>
      <c r="S201" t="s">
        <v>30</v>
      </c>
      <c r="U201" t="s">
        <v>54</v>
      </c>
      <c r="V201" t="s">
        <v>37</v>
      </c>
      <c r="W201" s="3">
        <v>18</v>
      </c>
      <c r="X201">
        <v>91</v>
      </c>
      <c r="Y201" s="4">
        <v>1638</v>
      </c>
      <c r="Z201" s="3">
        <v>158.886</v>
      </c>
    </row>
    <row r="202" spans="1:26" x14ac:dyDescent="0.35">
      <c r="A202">
        <v>1232</v>
      </c>
      <c r="B202" s="2">
        <v>41852</v>
      </c>
      <c r="C202">
        <v>1</v>
      </c>
      <c r="D202" t="s">
        <v>118</v>
      </c>
      <c r="E202" t="s">
        <v>119</v>
      </c>
      <c r="F202" t="s">
        <v>120</v>
      </c>
      <c r="G202" t="s">
        <v>121</v>
      </c>
      <c r="H202">
        <v>99999</v>
      </c>
      <c r="I202" t="s">
        <v>30</v>
      </c>
      <c r="J202" t="s">
        <v>60</v>
      </c>
      <c r="K202" t="s">
        <v>61</v>
      </c>
      <c r="L202" s="2"/>
      <c r="N202" t="s">
        <v>122</v>
      </c>
      <c r="O202" t="s">
        <v>119</v>
      </c>
      <c r="P202" t="s">
        <v>120</v>
      </c>
      <c r="Q202" t="s">
        <v>121</v>
      </c>
      <c r="R202">
        <v>99999</v>
      </c>
      <c r="S202" t="s">
        <v>30</v>
      </c>
      <c r="U202" t="s">
        <v>55</v>
      </c>
      <c r="V202" t="s">
        <v>37</v>
      </c>
      <c r="W202" s="3">
        <v>46</v>
      </c>
      <c r="X202">
        <v>14</v>
      </c>
      <c r="Y202" s="4">
        <v>644</v>
      </c>
      <c r="Z202" s="3">
        <v>63.756000000000007</v>
      </c>
    </row>
    <row r="203" spans="1:26" x14ac:dyDescent="0.35">
      <c r="A203">
        <v>1233</v>
      </c>
      <c r="B203" s="2">
        <v>41852</v>
      </c>
      <c r="C203">
        <v>1</v>
      </c>
      <c r="D203" t="s">
        <v>118</v>
      </c>
      <c r="E203" t="s">
        <v>119</v>
      </c>
      <c r="F203" t="s">
        <v>120</v>
      </c>
      <c r="G203" t="s">
        <v>121</v>
      </c>
      <c r="H203">
        <v>99999</v>
      </c>
      <c r="I203" t="s">
        <v>30</v>
      </c>
      <c r="J203" t="s">
        <v>60</v>
      </c>
      <c r="K203" t="s">
        <v>61</v>
      </c>
      <c r="L203" s="2"/>
      <c r="N203" t="s">
        <v>122</v>
      </c>
      <c r="O203" t="s">
        <v>119</v>
      </c>
      <c r="P203" t="s">
        <v>120</v>
      </c>
      <c r="Q203" t="s">
        <v>121</v>
      </c>
      <c r="R203">
        <v>99999</v>
      </c>
      <c r="S203" t="s">
        <v>30</v>
      </c>
      <c r="U203" t="s">
        <v>103</v>
      </c>
      <c r="V203" t="s">
        <v>37</v>
      </c>
      <c r="W203">
        <v>2.99</v>
      </c>
      <c r="X203">
        <v>44</v>
      </c>
      <c r="Y203" s="4">
        <v>131.56</v>
      </c>
      <c r="Z203" s="3">
        <v>13.287560000000001</v>
      </c>
    </row>
    <row r="204" spans="1:26" x14ac:dyDescent="0.35">
      <c r="A204">
        <v>1234</v>
      </c>
      <c r="B204" s="2">
        <v>41879</v>
      </c>
      <c r="C204">
        <v>28</v>
      </c>
      <c r="D204" t="s">
        <v>90</v>
      </c>
      <c r="E204" t="s">
        <v>91</v>
      </c>
      <c r="F204" t="s">
        <v>92</v>
      </c>
      <c r="G204" t="s">
        <v>93</v>
      </c>
      <c r="H204">
        <v>99999</v>
      </c>
      <c r="I204" t="s">
        <v>30</v>
      </c>
      <c r="J204" t="s">
        <v>94</v>
      </c>
      <c r="K204" t="s">
        <v>95</v>
      </c>
      <c r="L204" s="2">
        <v>41881</v>
      </c>
      <c r="M204" t="s">
        <v>62</v>
      </c>
      <c r="N204" t="s">
        <v>96</v>
      </c>
      <c r="O204" t="s">
        <v>91</v>
      </c>
      <c r="P204" t="s">
        <v>92</v>
      </c>
      <c r="Q204" t="s">
        <v>93</v>
      </c>
      <c r="R204">
        <v>99999</v>
      </c>
      <c r="S204" t="s">
        <v>30</v>
      </c>
      <c r="T204" t="s">
        <v>48</v>
      </c>
      <c r="U204" t="s">
        <v>80</v>
      </c>
      <c r="V204" t="s">
        <v>81</v>
      </c>
      <c r="W204">
        <v>9.65</v>
      </c>
      <c r="X204">
        <v>97</v>
      </c>
      <c r="Y204" s="4">
        <v>936.05000000000007</v>
      </c>
      <c r="Z204" s="3">
        <v>95.477100000000021</v>
      </c>
    </row>
    <row r="205" spans="1:26" x14ac:dyDescent="0.35">
      <c r="A205">
        <v>1235</v>
      </c>
      <c r="B205" s="2">
        <v>41879</v>
      </c>
      <c r="C205">
        <v>28</v>
      </c>
      <c r="D205" t="s">
        <v>90</v>
      </c>
      <c r="E205" t="s">
        <v>91</v>
      </c>
      <c r="F205" t="s">
        <v>92</v>
      </c>
      <c r="G205" t="s">
        <v>93</v>
      </c>
      <c r="H205">
        <v>99999</v>
      </c>
      <c r="I205" t="s">
        <v>30</v>
      </c>
      <c r="J205" t="s">
        <v>94</v>
      </c>
      <c r="K205" t="s">
        <v>95</v>
      </c>
      <c r="L205" s="2">
        <v>41881</v>
      </c>
      <c r="M205" t="s">
        <v>62</v>
      </c>
      <c r="N205" t="s">
        <v>96</v>
      </c>
      <c r="O205" t="s">
        <v>91</v>
      </c>
      <c r="P205" t="s">
        <v>92</v>
      </c>
      <c r="Q205" t="s">
        <v>93</v>
      </c>
      <c r="R205">
        <v>99999</v>
      </c>
      <c r="S205" t="s">
        <v>30</v>
      </c>
      <c r="T205" t="s">
        <v>48</v>
      </c>
      <c r="U205" t="s">
        <v>123</v>
      </c>
      <c r="V205" t="s">
        <v>124</v>
      </c>
      <c r="W205">
        <v>18.399999999999999</v>
      </c>
      <c r="X205">
        <v>80</v>
      </c>
      <c r="Y205" s="4">
        <v>1472</v>
      </c>
      <c r="Z205" s="3">
        <v>150.14400000000003</v>
      </c>
    </row>
    <row r="206" spans="1:26" x14ac:dyDescent="0.35">
      <c r="A206">
        <v>1236</v>
      </c>
      <c r="B206" s="2">
        <v>41860</v>
      </c>
      <c r="C206">
        <v>9</v>
      </c>
      <c r="D206" t="s">
        <v>125</v>
      </c>
      <c r="E206" t="s">
        <v>126</v>
      </c>
      <c r="F206" t="s">
        <v>127</v>
      </c>
      <c r="G206" t="s">
        <v>128</v>
      </c>
      <c r="H206">
        <v>99999</v>
      </c>
      <c r="I206" t="s">
        <v>30</v>
      </c>
      <c r="J206" t="s">
        <v>129</v>
      </c>
      <c r="K206" t="s">
        <v>32</v>
      </c>
      <c r="L206" s="2">
        <v>41862</v>
      </c>
      <c r="M206" t="s">
        <v>46</v>
      </c>
      <c r="N206" t="s">
        <v>130</v>
      </c>
      <c r="O206" t="s">
        <v>126</v>
      </c>
      <c r="P206" t="s">
        <v>127</v>
      </c>
      <c r="Q206" t="s">
        <v>128</v>
      </c>
      <c r="R206">
        <v>99999</v>
      </c>
      <c r="S206" t="s">
        <v>30</v>
      </c>
      <c r="T206" t="s">
        <v>35</v>
      </c>
      <c r="U206" t="s">
        <v>131</v>
      </c>
      <c r="V206" t="s">
        <v>132</v>
      </c>
      <c r="W206">
        <v>19.5</v>
      </c>
      <c r="X206">
        <v>66</v>
      </c>
      <c r="Y206" s="4">
        <v>1287</v>
      </c>
      <c r="Z206" s="3">
        <v>132.56100000000001</v>
      </c>
    </row>
    <row r="207" spans="1:26" x14ac:dyDescent="0.35">
      <c r="A207">
        <v>1237</v>
      </c>
      <c r="B207" s="2">
        <v>41860</v>
      </c>
      <c r="C207">
        <v>9</v>
      </c>
      <c r="D207" t="s">
        <v>125</v>
      </c>
      <c r="E207" t="s">
        <v>126</v>
      </c>
      <c r="F207" t="s">
        <v>127</v>
      </c>
      <c r="G207" t="s">
        <v>128</v>
      </c>
      <c r="H207">
        <v>99999</v>
      </c>
      <c r="I207" t="s">
        <v>30</v>
      </c>
      <c r="J207" t="s">
        <v>129</v>
      </c>
      <c r="K207" t="s">
        <v>32</v>
      </c>
      <c r="L207" s="2">
        <v>41862</v>
      </c>
      <c r="M207" t="s">
        <v>46</v>
      </c>
      <c r="N207" t="s">
        <v>130</v>
      </c>
      <c r="O207" t="s">
        <v>126</v>
      </c>
      <c r="P207" t="s">
        <v>127</v>
      </c>
      <c r="Q207" t="s">
        <v>128</v>
      </c>
      <c r="R207">
        <v>99999</v>
      </c>
      <c r="S207" t="s">
        <v>30</v>
      </c>
      <c r="T207" t="s">
        <v>35</v>
      </c>
      <c r="U207" t="s">
        <v>133</v>
      </c>
      <c r="V207" t="s">
        <v>134</v>
      </c>
      <c r="W207">
        <v>34.799999999999997</v>
      </c>
      <c r="X207">
        <v>32</v>
      </c>
      <c r="Y207" s="4">
        <v>1113.5999999999999</v>
      </c>
      <c r="Z207" s="3">
        <v>111.36</v>
      </c>
    </row>
    <row r="208" spans="1:26" x14ac:dyDescent="0.35">
      <c r="A208">
        <v>1238</v>
      </c>
      <c r="B208" s="2">
        <v>41857</v>
      </c>
      <c r="C208">
        <v>6</v>
      </c>
      <c r="D208" t="s">
        <v>82</v>
      </c>
      <c r="E208" t="s">
        <v>83</v>
      </c>
      <c r="F208" t="s">
        <v>84</v>
      </c>
      <c r="G208" t="s">
        <v>85</v>
      </c>
      <c r="H208">
        <v>99999</v>
      </c>
      <c r="I208" t="s">
        <v>30</v>
      </c>
      <c r="J208" t="s">
        <v>86</v>
      </c>
      <c r="K208" t="s">
        <v>61</v>
      </c>
      <c r="L208" s="2">
        <v>41859</v>
      </c>
      <c r="M208" t="s">
        <v>33</v>
      </c>
      <c r="N208" t="s">
        <v>87</v>
      </c>
      <c r="O208" t="s">
        <v>83</v>
      </c>
      <c r="P208" t="s">
        <v>84</v>
      </c>
      <c r="Q208" t="s">
        <v>85</v>
      </c>
      <c r="R208">
        <v>99999</v>
      </c>
      <c r="S208" t="s">
        <v>30</v>
      </c>
      <c r="T208" t="s">
        <v>48</v>
      </c>
      <c r="U208" t="s">
        <v>36</v>
      </c>
      <c r="V208" t="s">
        <v>37</v>
      </c>
      <c r="W208">
        <v>14</v>
      </c>
      <c r="X208">
        <v>52</v>
      </c>
      <c r="Y208" s="4">
        <v>728</v>
      </c>
      <c r="Z208" s="3">
        <v>72.8</v>
      </c>
    </row>
    <row r="209" spans="1:26" x14ac:dyDescent="0.35">
      <c r="A209">
        <v>1239</v>
      </c>
      <c r="B209" s="2">
        <v>41859</v>
      </c>
      <c r="C209">
        <v>8</v>
      </c>
      <c r="D209" t="s">
        <v>56</v>
      </c>
      <c r="E209" t="s">
        <v>57</v>
      </c>
      <c r="F209" t="s">
        <v>58</v>
      </c>
      <c r="G209" t="s">
        <v>59</v>
      </c>
      <c r="H209">
        <v>99999</v>
      </c>
      <c r="I209" t="s">
        <v>30</v>
      </c>
      <c r="J209" t="s">
        <v>60</v>
      </c>
      <c r="K209" t="s">
        <v>61</v>
      </c>
      <c r="L209" s="2">
        <v>41861</v>
      </c>
      <c r="M209" t="s">
        <v>33</v>
      </c>
      <c r="N209" t="s">
        <v>63</v>
      </c>
      <c r="O209" t="s">
        <v>57</v>
      </c>
      <c r="P209" t="s">
        <v>58</v>
      </c>
      <c r="Q209" t="s">
        <v>59</v>
      </c>
      <c r="R209">
        <v>99999</v>
      </c>
      <c r="S209" t="s">
        <v>30</v>
      </c>
      <c r="T209" t="s">
        <v>35</v>
      </c>
      <c r="U209" t="s">
        <v>88</v>
      </c>
      <c r="V209" t="s">
        <v>89</v>
      </c>
      <c r="W209">
        <v>40</v>
      </c>
      <c r="X209">
        <v>78</v>
      </c>
      <c r="Y209" s="4">
        <v>3120</v>
      </c>
      <c r="Z209" s="3">
        <v>318.24</v>
      </c>
    </row>
    <row r="210" spans="1:26" x14ac:dyDescent="0.35">
      <c r="A210">
        <v>1240</v>
      </c>
      <c r="B210" s="2">
        <v>41859</v>
      </c>
      <c r="C210">
        <v>8</v>
      </c>
      <c r="D210" t="s">
        <v>56</v>
      </c>
      <c r="E210" t="s">
        <v>57</v>
      </c>
      <c r="F210" t="s">
        <v>58</v>
      </c>
      <c r="G210" t="s">
        <v>59</v>
      </c>
      <c r="H210">
        <v>99999</v>
      </c>
      <c r="I210" t="s">
        <v>30</v>
      </c>
      <c r="J210" t="s">
        <v>60</v>
      </c>
      <c r="K210" t="s">
        <v>61</v>
      </c>
      <c r="L210" s="2">
        <v>41861</v>
      </c>
      <c r="M210" t="s">
        <v>33</v>
      </c>
      <c r="N210" t="s">
        <v>63</v>
      </c>
      <c r="O210" t="s">
        <v>57</v>
      </c>
      <c r="P210" t="s">
        <v>58</v>
      </c>
      <c r="Q210" t="s">
        <v>59</v>
      </c>
      <c r="R210">
        <v>99999</v>
      </c>
      <c r="S210" t="s">
        <v>30</v>
      </c>
      <c r="T210" t="s">
        <v>35</v>
      </c>
      <c r="U210" t="s">
        <v>64</v>
      </c>
      <c r="V210" t="s">
        <v>65</v>
      </c>
      <c r="W210">
        <v>9.1999999999999993</v>
      </c>
      <c r="X210">
        <v>54</v>
      </c>
      <c r="Y210" s="4">
        <v>496.79999999999995</v>
      </c>
      <c r="Z210" s="3">
        <v>49.183199999999999</v>
      </c>
    </row>
    <row r="211" spans="1:26" x14ac:dyDescent="0.35">
      <c r="A211">
        <v>1241</v>
      </c>
      <c r="B211" s="2">
        <v>41876</v>
      </c>
      <c r="C211">
        <v>25</v>
      </c>
      <c r="D211" t="s">
        <v>137</v>
      </c>
      <c r="E211" t="s">
        <v>138</v>
      </c>
      <c r="F211" t="s">
        <v>99</v>
      </c>
      <c r="G211" t="s">
        <v>100</v>
      </c>
      <c r="H211">
        <v>99999</v>
      </c>
      <c r="I211" t="s">
        <v>30</v>
      </c>
      <c r="J211" t="s">
        <v>101</v>
      </c>
      <c r="K211" t="s">
        <v>45</v>
      </c>
      <c r="L211" s="2">
        <v>41878</v>
      </c>
      <c r="M211" t="s">
        <v>46</v>
      </c>
      <c r="N211" t="s">
        <v>139</v>
      </c>
      <c r="O211" t="s">
        <v>138</v>
      </c>
      <c r="P211" t="s">
        <v>99</v>
      </c>
      <c r="Q211" t="s">
        <v>100</v>
      </c>
      <c r="R211">
        <v>99999</v>
      </c>
      <c r="S211" t="s">
        <v>30</v>
      </c>
      <c r="T211" t="s">
        <v>79</v>
      </c>
      <c r="U211" t="s">
        <v>146</v>
      </c>
      <c r="V211" t="s">
        <v>65</v>
      </c>
      <c r="W211">
        <v>10</v>
      </c>
      <c r="X211">
        <v>55</v>
      </c>
      <c r="Y211" s="4">
        <v>550</v>
      </c>
      <c r="Z211" s="3">
        <v>52.25</v>
      </c>
    </row>
    <row r="212" spans="1:26" x14ac:dyDescent="0.35">
      <c r="A212">
        <v>1242</v>
      </c>
      <c r="B212" s="2">
        <v>41877</v>
      </c>
      <c r="C212">
        <v>26</v>
      </c>
      <c r="D212" t="s">
        <v>140</v>
      </c>
      <c r="E212" t="s">
        <v>141</v>
      </c>
      <c r="F212" t="s">
        <v>115</v>
      </c>
      <c r="G212" t="s">
        <v>116</v>
      </c>
      <c r="H212">
        <v>99999</v>
      </c>
      <c r="I212" t="s">
        <v>30</v>
      </c>
      <c r="J212" t="s">
        <v>94</v>
      </c>
      <c r="K212" t="s">
        <v>95</v>
      </c>
      <c r="L212" s="2">
        <v>41879</v>
      </c>
      <c r="M212" t="s">
        <v>62</v>
      </c>
      <c r="N212" t="s">
        <v>142</v>
      </c>
      <c r="O212" t="s">
        <v>141</v>
      </c>
      <c r="P212" t="s">
        <v>115</v>
      </c>
      <c r="Q212" t="s">
        <v>116</v>
      </c>
      <c r="R212">
        <v>99999</v>
      </c>
      <c r="S212" t="s">
        <v>30</v>
      </c>
      <c r="T212" t="s">
        <v>48</v>
      </c>
      <c r="U212" t="s">
        <v>147</v>
      </c>
      <c r="V212" t="s">
        <v>148</v>
      </c>
      <c r="W212">
        <v>21.35</v>
      </c>
      <c r="X212">
        <v>60</v>
      </c>
      <c r="Y212" s="4">
        <v>1281</v>
      </c>
      <c r="Z212" s="3">
        <v>129.381</v>
      </c>
    </row>
    <row r="213" spans="1:26" x14ac:dyDescent="0.35">
      <c r="A213">
        <v>1243</v>
      </c>
      <c r="B213" s="2">
        <v>41877</v>
      </c>
      <c r="C213">
        <v>26</v>
      </c>
      <c r="D213" t="s">
        <v>140</v>
      </c>
      <c r="E213" t="s">
        <v>141</v>
      </c>
      <c r="F213" t="s">
        <v>115</v>
      </c>
      <c r="G213" t="s">
        <v>116</v>
      </c>
      <c r="H213">
        <v>99999</v>
      </c>
      <c r="I213" t="s">
        <v>30</v>
      </c>
      <c r="J213" t="s">
        <v>94</v>
      </c>
      <c r="K213" t="s">
        <v>95</v>
      </c>
      <c r="L213" s="2">
        <v>41879</v>
      </c>
      <c r="M213" t="s">
        <v>62</v>
      </c>
      <c r="N213" t="s">
        <v>142</v>
      </c>
      <c r="O213" t="s">
        <v>141</v>
      </c>
      <c r="P213" t="s">
        <v>115</v>
      </c>
      <c r="Q213" t="s">
        <v>116</v>
      </c>
      <c r="R213">
        <v>99999</v>
      </c>
      <c r="S213" t="s">
        <v>30</v>
      </c>
      <c r="T213" t="s">
        <v>48</v>
      </c>
      <c r="U213" t="s">
        <v>80</v>
      </c>
      <c r="V213" t="s">
        <v>81</v>
      </c>
      <c r="W213">
        <v>9.65</v>
      </c>
      <c r="X213">
        <v>19</v>
      </c>
      <c r="Y213" s="4">
        <v>183.35</v>
      </c>
      <c r="Z213" s="3">
        <v>17.41825</v>
      </c>
    </row>
    <row r="214" spans="1:26" x14ac:dyDescent="0.35">
      <c r="A214">
        <v>1244</v>
      </c>
      <c r="B214" s="2">
        <v>41877</v>
      </c>
      <c r="C214">
        <v>26</v>
      </c>
      <c r="D214" t="s">
        <v>140</v>
      </c>
      <c r="E214" t="s">
        <v>141</v>
      </c>
      <c r="F214" t="s">
        <v>115</v>
      </c>
      <c r="G214" t="s">
        <v>116</v>
      </c>
      <c r="H214">
        <v>99999</v>
      </c>
      <c r="I214" t="s">
        <v>30</v>
      </c>
      <c r="J214" t="s">
        <v>94</v>
      </c>
      <c r="K214" t="s">
        <v>95</v>
      </c>
      <c r="L214" s="2">
        <v>41879</v>
      </c>
      <c r="M214" t="s">
        <v>62</v>
      </c>
      <c r="N214" t="s">
        <v>142</v>
      </c>
      <c r="O214" t="s">
        <v>141</v>
      </c>
      <c r="P214" t="s">
        <v>115</v>
      </c>
      <c r="Q214" t="s">
        <v>116</v>
      </c>
      <c r="R214">
        <v>99999</v>
      </c>
      <c r="S214" t="s">
        <v>30</v>
      </c>
      <c r="T214" t="s">
        <v>48</v>
      </c>
      <c r="U214" t="s">
        <v>123</v>
      </c>
      <c r="V214" t="s">
        <v>124</v>
      </c>
      <c r="W214">
        <v>18.399999999999999</v>
      </c>
      <c r="X214">
        <v>66</v>
      </c>
      <c r="Y214" s="4">
        <v>1214.3999999999999</v>
      </c>
      <c r="Z214" s="3">
        <v>125.08320000000001</v>
      </c>
    </row>
    <row r="215" spans="1:26" x14ac:dyDescent="0.35">
      <c r="A215">
        <v>1245</v>
      </c>
      <c r="B215" s="2">
        <v>41880</v>
      </c>
      <c r="C215">
        <v>29</v>
      </c>
      <c r="D215" t="s">
        <v>66</v>
      </c>
      <c r="E215" t="s">
        <v>67</v>
      </c>
      <c r="F215" t="s">
        <v>68</v>
      </c>
      <c r="G215" t="s">
        <v>69</v>
      </c>
      <c r="H215">
        <v>99999</v>
      </c>
      <c r="I215" t="s">
        <v>30</v>
      </c>
      <c r="J215" t="s">
        <v>70</v>
      </c>
      <c r="K215" t="s">
        <v>32</v>
      </c>
      <c r="L215" s="2">
        <v>41882</v>
      </c>
      <c r="M215" t="s">
        <v>33</v>
      </c>
      <c r="N215" t="s">
        <v>71</v>
      </c>
      <c r="O215" t="s">
        <v>67</v>
      </c>
      <c r="P215" t="s">
        <v>68</v>
      </c>
      <c r="Q215" t="s">
        <v>69</v>
      </c>
      <c r="R215">
        <v>99999</v>
      </c>
      <c r="S215" t="s">
        <v>30</v>
      </c>
      <c r="T215" t="s">
        <v>35</v>
      </c>
      <c r="U215" t="s">
        <v>36</v>
      </c>
      <c r="V215" t="s">
        <v>37</v>
      </c>
      <c r="W215">
        <v>14</v>
      </c>
      <c r="X215">
        <v>42</v>
      </c>
      <c r="Y215" s="4">
        <v>588</v>
      </c>
      <c r="Z215" s="3">
        <v>59.388000000000005</v>
      </c>
    </row>
    <row r="216" spans="1:26" x14ac:dyDescent="0.35">
      <c r="A216">
        <v>1246</v>
      </c>
      <c r="B216" s="2">
        <v>41857</v>
      </c>
      <c r="C216">
        <v>6</v>
      </c>
      <c r="D216" t="s">
        <v>82</v>
      </c>
      <c r="E216" t="s">
        <v>83</v>
      </c>
      <c r="F216" t="s">
        <v>84</v>
      </c>
      <c r="G216" t="s">
        <v>85</v>
      </c>
      <c r="H216">
        <v>99999</v>
      </c>
      <c r="I216" t="s">
        <v>30</v>
      </c>
      <c r="J216" t="s">
        <v>86</v>
      </c>
      <c r="K216" t="s">
        <v>61</v>
      </c>
      <c r="L216">
        <v>41859</v>
      </c>
      <c r="M216" t="s">
        <v>62</v>
      </c>
      <c r="N216" t="s">
        <v>87</v>
      </c>
      <c r="O216" t="s">
        <v>83</v>
      </c>
      <c r="P216" t="s">
        <v>84</v>
      </c>
      <c r="Q216" t="s">
        <v>85</v>
      </c>
      <c r="R216">
        <v>99999</v>
      </c>
      <c r="S216" t="s">
        <v>30</v>
      </c>
      <c r="T216" t="s">
        <v>35</v>
      </c>
      <c r="U216" t="s">
        <v>72</v>
      </c>
      <c r="V216" t="s">
        <v>73</v>
      </c>
      <c r="W216">
        <v>12.75</v>
      </c>
      <c r="X216">
        <v>72</v>
      </c>
      <c r="Y216" s="4">
        <v>918</v>
      </c>
      <c r="Z216" s="3">
        <v>89.046000000000006</v>
      </c>
    </row>
    <row r="217" spans="1:26" x14ac:dyDescent="0.35">
      <c r="A217">
        <v>1248</v>
      </c>
      <c r="B217" s="2">
        <v>41855</v>
      </c>
      <c r="C217">
        <v>4</v>
      </c>
      <c r="D217" t="s">
        <v>40</v>
      </c>
      <c r="E217" t="s">
        <v>41</v>
      </c>
      <c r="F217" t="s">
        <v>42</v>
      </c>
      <c r="G217" t="s">
        <v>43</v>
      </c>
      <c r="H217">
        <v>99999</v>
      </c>
      <c r="I217" t="s">
        <v>30</v>
      </c>
      <c r="J217" t="s">
        <v>44</v>
      </c>
      <c r="K217" t="s">
        <v>45</v>
      </c>
      <c r="L217">
        <v>41857</v>
      </c>
      <c r="M217" t="s">
        <v>46</v>
      </c>
      <c r="N217" t="s">
        <v>47</v>
      </c>
      <c r="O217" t="s">
        <v>41</v>
      </c>
      <c r="P217" t="s">
        <v>42</v>
      </c>
      <c r="Q217" t="s">
        <v>43</v>
      </c>
      <c r="R217">
        <v>99999</v>
      </c>
      <c r="S217" t="s">
        <v>30</v>
      </c>
      <c r="T217" t="s">
        <v>48</v>
      </c>
      <c r="U217" t="s">
        <v>149</v>
      </c>
      <c r="V217" t="s">
        <v>110</v>
      </c>
      <c r="W217">
        <v>81</v>
      </c>
      <c r="X217">
        <v>32</v>
      </c>
      <c r="Y217" s="4">
        <v>2592</v>
      </c>
      <c r="Z217" s="3">
        <v>251.42399999999998</v>
      </c>
    </row>
    <row r="218" spans="1:26" x14ac:dyDescent="0.35">
      <c r="A218">
        <v>1249</v>
      </c>
      <c r="B218" s="2">
        <v>41855</v>
      </c>
      <c r="C218">
        <v>4</v>
      </c>
      <c r="D218" t="s">
        <v>40</v>
      </c>
      <c r="E218" t="s">
        <v>41</v>
      </c>
      <c r="F218" t="s">
        <v>42</v>
      </c>
      <c r="G218" t="s">
        <v>43</v>
      </c>
      <c r="H218">
        <v>99999</v>
      </c>
      <c r="I218" t="s">
        <v>30</v>
      </c>
      <c r="J218" t="s">
        <v>44</v>
      </c>
      <c r="K218" t="s">
        <v>45</v>
      </c>
      <c r="L218">
        <v>41857</v>
      </c>
      <c r="M218" t="s">
        <v>46</v>
      </c>
      <c r="N218" t="s">
        <v>47</v>
      </c>
      <c r="O218" t="s">
        <v>41</v>
      </c>
      <c r="P218" t="s">
        <v>42</v>
      </c>
      <c r="Q218" t="s">
        <v>43</v>
      </c>
      <c r="R218">
        <v>99999</v>
      </c>
      <c r="S218" t="s">
        <v>30</v>
      </c>
      <c r="T218" t="s">
        <v>48</v>
      </c>
      <c r="U218" t="s">
        <v>150</v>
      </c>
      <c r="V218" t="s">
        <v>151</v>
      </c>
      <c r="W218">
        <v>7</v>
      </c>
      <c r="X218">
        <v>76</v>
      </c>
      <c r="Y218" s="4">
        <v>532</v>
      </c>
      <c r="Z218" s="3">
        <v>53.732000000000006</v>
      </c>
    </row>
    <row r="219" spans="1:26" x14ac:dyDescent="0.35">
      <c r="A219">
        <v>1250</v>
      </c>
      <c r="B219" s="2">
        <v>41892</v>
      </c>
      <c r="C219">
        <v>10</v>
      </c>
      <c r="D219" t="s">
        <v>97</v>
      </c>
      <c r="E219" t="s">
        <v>98</v>
      </c>
      <c r="F219" t="s">
        <v>99</v>
      </c>
      <c r="G219" t="s">
        <v>100</v>
      </c>
      <c r="H219">
        <v>99999</v>
      </c>
      <c r="I219" t="s">
        <v>30</v>
      </c>
      <c r="J219" t="s">
        <v>101</v>
      </c>
      <c r="K219" t="s">
        <v>45</v>
      </c>
      <c r="L219">
        <v>41894</v>
      </c>
      <c r="M219" t="s">
        <v>46</v>
      </c>
      <c r="N219" t="s">
        <v>102</v>
      </c>
      <c r="O219" t="s">
        <v>98</v>
      </c>
      <c r="P219" t="s">
        <v>99</v>
      </c>
      <c r="Q219" t="s">
        <v>100</v>
      </c>
      <c r="R219">
        <v>99999</v>
      </c>
      <c r="S219" t="s">
        <v>30</v>
      </c>
      <c r="U219" t="s">
        <v>64</v>
      </c>
      <c r="V219" t="s">
        <v>65</v>
      </c>
      <c r="W219">
        <v>9.1999999999999993</v>
      </c>
      <c r="X219">
        <v>83</v>
      </c>
      <c r="Y219" s="4">
        <v>763.59999999999991</v>
      </c>
      <c r="Z219" s="3">
        <v>74.832799999999992</v>
      </c>
    </row>
    <row r="220" spans="1:26" x14ac:dyDescent="0.35">
      <c r="A220">
        <v>1251</v>
      </c>
      <c r="B220" s="2">
        <v>41893</v>
      </c>
      <c r="C220">
        <v>11</v>
      </c>
      <c r="D220" t="s">
        <v>113</v>
      </c>
      <c r="E220" t="s">
        <v>114</v>
      </c>
      <c r="F220" t="s">
        <v>115</v>
      </c>
      <c r="G220" t="s">
        <v>116</v>
      </c>
      <c r="H220">
        <v>99999</v>
      </c>
      <c r="I220" t="s">
        <v>30</v>
      </c>
      <c r="J220" t="s">
        <v>94</v>
      </c>
      <c r="K220" t="s">
        <v>95</v>
      </c>
      <c r="L220" s="2"/>
      <c r="M220" t="s">
        <v>62</v>
      </c>
      <c r="N220" t="s">
        <v>117</v>
      </c>
      <c r="O220" t="s">
        <v>114</v>
      </c>
      <c r="P220" t="s">
        <v>115</v>
      </c>
      <c r="Q220" t="s">
        <v>116</v>
      </c>
      <c r="R220">
        <v>99999</v>
      </c>
      <c r="S220" t="s">
        <v>30</v>
      </c>
      <c r="U220" t="s">
        <v>38</v>
      </c>
      <c r="V220" t="s">
        <v>39</v>
      </c>
      <c r="W220">
        <v>3.5</v>
      </c>
      <c r="X220">
        <v>91</v>
      </c>
      <c r="Y220" s="4">
        <v>318.5</v>
      </c>
      <c r="Z220" s="3">
        <v>31.213000000000001</v>
      </c>
    </row>
    <row r="221" spans="1:26" x14ac:dyDescent="0.35">
      <c r="A221">
        <v>1252</v>
      </c>
      <c r="B221" s="2">
        <v>41893</v>
      </c>
      <c r="C221">
        <v>11</v>
      </c>
      <c r="D221" t="s">
        <v>113</v>
      </c>
      <c r="E221" t="s">
        <v>114</v>
      </c>
      <c r="F221" t="s">
        <v>115</v>
      </c>
      <c r="G221" t="s">
        <v>116</v>
      </c>
      <c r="H221">
        <v>99999</v>
      </c>
      <c r="I221" t="s">
        <v>30</v>
      </c>
      <c r="J221" t="s">
        <v>94</v>
      </c>
      <c r="K221" t="s">
        <v>95</v>
      </c>
      <c r="L221" s="2"/>
      <c r="M221" t="s">
        <v>62</v>
      </c>
      <c r="N221" t="s">
        <v>117</v>
      </c>
      <c r="O221" t="s">
        <v>114</v>
      </c>
      <c r="P221" t="s">
        <v>115</v>
      </c>
      <c r="Q221" t="s">
        <v>116</v>
      </c>
      <c r="R221">
        <v>99999</v>
      </c>
      <c r="S221" t="s">
        <v>30</v>
      </c>
      <c r="U221" t="s">
        <v>103</v>
      </c>
      <c r="V221" t="s">
        <v>37</v>
      </c>
      <c r="W221">
        <v>2.99</v>
      </c>
      <c r="X221">
        <v>64</v>
      </c>
      <c r="Y221" s="4">
        <v>191.36</v>
      </c>
      <c r="Z221" s="3">
        <v>19.518720000000002</v>
      </c>
    </row>
    <row r="222" spans="1:26" x14ac:dyDescent="0.35">
      <c r="A222">
        <v>1253</v>
      </c>
      <c r="B222" s="2">
        <v>41883</v>
      </c>
      <c r="C222">
        <v>1</v>
      </c>
      <c r="D222" t="s">
        <v>118</v>
      </c>
      <c r="E222" t="s">
        <v>119</v>
      </c>
      <c r="F222" t="s">
        <v>120</v>
      </c>
      <c r="G222" t="s">
        <v>121</v>
      </c>
      <c r="H222">
        <v>99999</v>
      </c>
      <c r="I222" t="s">
        <v>30</v>
      </c>
      <c r="J222" t="s">
        <v>60</v>
      </c>
      <c r="K222" t="s">
        <v>61</v>
      </c>
      <c r="L222" s="2"/>
      <c r="N222" t="s">
        <v>122</v>
      </c>
      <c r="O222" t="s">
        <v>119</v>
      </c>
      <c r="P222" t="s">
        <v>120</v>
      </c>
      <c r="Q222" t="s">
        <v>121</v>
      </c>
      <c r="R222">
        <v>99999</v>
      </c>
      <c r="S222" t="s">
        <v>30</v>
      </c>
      <c r="U222" t="s">
        <v>54</v>
      </c>
      <c r="V222" t="s">
        <v>37</v>
      </c>
      <c r="W222">
        <v>18</v>
      </c>
      <c r="X222">
        <v>58</v>
      </c>
      <c r="Y222" s="4">
        <v>1044</v>
      </c>
      <c r="Z222" s="3">
        <v>103.35600000000001</v>
      </c>
    </row>
    <row r="223" spans="1:26" x14ac:dyDescent="0.35">
      <c r="A223">
        <v>1254</v>
      </c>
      <c r="B223" s="2">
        <v>41883</v>
      </c>
      <c r="C223">
        <v>1</v>
      </c>
      <c r="D223" t="s">
        <v>118</v>
      </c>
      <c r="E223" t="s">
        <v>119</v>
      </c>
      <c r="F223" t="s">
        <v>120</v>
      </c>
      <c r="G223" t="s">
        <v>121</v>
      </c>
      <c r="H223">
        <v>99999</v>
      </c>
      <c r="I223" t="s">
        <v>30</v>
      </c>
      <c r="J223" t="s">
        <v>60</v>
      </c>
      <c r="K223" t="s">
        <v>61</v>
      </c>
      <c r="L223" s="2"/>
      <c r="N223" t="s">
        <v>122</v>
      </c>
      <c r="O223" t="s">
        <v>119</v>
      </c>
      <c r="P223" t="s">
        <v>120</v>
      </c>
      <c r="Q223" t="s">
        <v>121</v>
      </c>
      <c r="R223">
        <v>99999</v>
      </c>
      <c r="S223" t="s">
        <v>30</v>
      </c>
      <c r="U223" t="s">
        <v>55</v>
      </c>
      <c r="V223" t="s">
        <v>37</v>
      </c>
      <c r="W223" s="3">
        <v>46</v>
      </c>
      <c r="X223">
        <v>97</v>
      </c>
      <c r="Y223" s="4">
        <v>4462</v>
      </c>
      <c r="Z223" s="3">
        <v>464.04800000000006</v>
      </c>
    </row>
    <row r="224" spans="1:26" x14ac:dyDescent="0.35">
      <c r="A224">
        <v>1255</v>
      </c>
      <c r="B224" s="2">
        <v>41883</v>
      </c>
      <c r="C224">
        <v>1</v>
      </c>
      <c r="D224" t="s">
        <v>118</v>
      </c>
      <c r="E224" t="s">
        <v>119</v>
      </c>
      <c r="F224" t="s">
        <v>120</v>
      </c>
      <c r="G224" t="s">
        <v>121</v>
      </c>
      <c r="H224">
        <v>99999</v>
      </c>
      <c r="I224" t="s">
        <v>30</v>
      </c>
      <c r="J224" t="s">
        <v>60</v>
      </c>
      <c r="K224" t="s">
        <v>61</v>
      </c>
      <c r="L224" s="2"/>
      <c r="N224" t="s">
        <v>122</v>
      </c>
      <c r="O224" t="s">
        <v>119</v>
      </c>
      <c r="P224" t="s">
        <v>120</v>
      </c>
      <c r="Q224" t="s">
        <v>121</v>
      </c>
      <c r="R224">
        <v>99999</v>
      </c>
      <c r="S224" t="s">
        <v>30</v>
      </c>
      <c r="U224" t="s">
        <v>103</v>
      </c>
      <c r="V224" t="s">
        <v>37</v>
      </c>
      <c r="W224" s="3">
        <v>2.99</v>
      </c>
      <c r="X224">
        <v>14</v>
      </c>
      <c r="Y224" s="4">
        <v>41.86</v>
      </c>
      <c r="Z224" s="3">
        <v>4.35344</v>
      </c>
    </row>
    <row r="225" spans="1:26" x14ac:dyDescent="0.35">
      <c r="A225">
        <v>1256</v>
      </c>
      <c r="B225" s="2">
        <v>41910</v>
      </c>
      <c r="C225">
        <v>28</v>
      </c>
      <c r="D225" t="s">
        <v>90</v>
      </c>
      <c r="E225" t="s">
        <v>91</v>
      </c>
      <c r="F225" t="s">
        <v>92</v>
      </c>
      <c r="G225" t="s">
        <v>93</v>
      </c>
      <c r="H225">
        <v>99999</v>
      </c>
      <c r="I225" t="s">
        <v>30</v>
      </c>
      <c r="J225" t="s">
        <v>94</v>
      </c>
      <c r="K225" t="s">
        <v>95</v>
      </c>
      <c r="L225" s="2">
        <v>41912</v>
      </c>
      <c r="M225" t="s">
        <v>62</v>
      </c>
      <c r="N225" t="s">
        <v>96</v>
      </c>
      <c r="O225" t="s">
        <v>91</v>
      </c>
      <c r="P225" t="s">
        <v>92</v>
      </c>
      <c r="Q225" t="s">
        <v>93</v>
      </c>
      <c r="R225">
        <v>99999</v>
      </c>
      <c r="S225" t="s">
        <v>30</v>
      </c>
      <c r="T225" t="s">
        <v>48</v>
      </c>
      <c r="U225" t="s">
        <v>80</v>
      </c>
      <c r="V225" t="s">
        <v>81</v>
      </c>
      <c r="W225" s="3">
        <v>9.65</v>
      </c>
      <c r="X225">
        <v>68</v>
      </c>
      <c r="Y225" s="4">
        <v>656.2</v>
      </c>
      <c r="Z225" s="3">
        <v>64.307600000000008</v>
      </c>
    </row>
    <row r="226" spans="1:26" x14ac:dyDescent="0.35">
      <c r="A226">
        <v>1257</v>
      </c>
      <c r="B226" s="2">
        <v>41910</v>
      </c>
      <c r="C226">
        <v>28</v>
      </c>
      <c r="D226" t="s">
        <v>90</v>
      </c>
      <c r="E226" t="s">
        <v>91</v>
      </c>
      <c r="F226" t="s">
        <v>92</v>
      </c>
      <c r="G226" t="s">
        <v>93</v>
      </c>
      <c r="H226">
        <v>99999</v>
      </c>
      <c r="I226" t="s">
        <v>30</v>
      </c>
      <c r="J226" t="s">
        <v>94</v>
      </c>
      <c r="K226" t="s">
        <v>95</v>
      </c>
      <c r="L226">
        <v>41912</v>
      </c>
      <c r="M226" t="s">
        <v>62</v>
      </c>
      <c r="N226" t="s">
        <v>96</v>
      </c>
      <c r="O226" t="s">
        <v>91</v>
      </c>
      <c r="P226" t="s">
        <v>92</v>
      </c>
      <c r="Q226" t="s">
        <v>93</v>
      </c>
      <c r="R226">
        <v>99999</v>
      </c>
      <c r="S226" t="s">
        <v>30</v>
      </c>
      <c r="T226" t="s">
        <v>48</v>
      </c>
      <c r="U226" t="s">
        <v>123</v>
      </c>
      <c r="V226" t="s">
        <v>124</v>
      </c>
      <c r="W226" s="3">
        <v>18.399999999999999</v>
      </c>
      <c r="X226">
        <v>32</v>
      </c>
      <c r="Y226" s="4">
        <v>588.79999999999995</v>
      </c>
      <c r="Z226" s="3">
        <v>58.879999999999995</v>
      </c>
    </row>
    <row r="227" spans="1:26" x14ac:dyDescent="0.35">
      <c r="A227">
        <v>1258</v>
      </c>
      <c r="B227" s="2">
        <v>41891</v>
      </c>
      <c r="C227">
        <v>9</v>
      </c>
      <c r="D227" t="s">
        <v>125</v>
      </c>
      <c r="E227" t="s">
        <v>126</v>
      </c>
      <c r="F227" t="s">
        <v>127</v>
      </c>
      <c r="G227" t="s">
        <v>128</v>
      </c>
      <c r="H227">
        <v>99999</v>
      </c>
      <c r="I227" t="s">
        <v>30</v>
      </c>
      <c r="J227" t="s">
        <v>129</v>
      </c>
      <c r="K227" t="s">
        <v>32</v>
      </c>
      <c r="L227" s="2">
        <v>41893</v>
      </c>
      <c r="M227" t="s">
        <v>46</v>
      </c>
      <c r="N227" t="s">
        <v>130</v>
      </c>
      <c r="O227" t="s">
        <v>126</v>
      </c>
      <c r="P227" t="s">
        <v>127</v>
      </c>
      <c r="Q227" t="s">
        <v>128</v>
      </c>
      <c r="R227">
        <v>99999</v>
      </c>
      <c r="S227" t="s">
        <v>30</v>
      </c>
      <c r="T227" t="s">
        <v>35</v>
      </c>
      <c r="U227" t="s">
        <v>131</v>
      </c>
      <c r="V227" t="s">
        <v>132</v>
      </c>
      <c r="W227" s="3">
        <v>19.5</v>
      </c>
      <c r="X227">
        <v>48</v>
      </c>
      <c r="Y227" s="4">
        <v>936</v>
      </c>
      <c r="Z227" s="3">
        <v>94.536000000000016</v>
      </c>
    </row>
    <row r="228" spans="1:26" x14ac:dyDescent="0.35">
      <c r="A228">
        <v>1259</v>
      </c>
      <c r="B228" s="2">
        <v>41891</v>
      </c>
      <c r="C228">
        <v>9</v>
      </c>
      <c r="D228" t="s">
        <v>125</v>
      </c>
      <c r="E228" t="s">
        <v>126</v>
      </c>
      <c r="F228" t="s">
        <v>127</v>
      </c>
      <c r="G228" t="s">
        <v>128</v>
      </c>
      <c r="H228">
        <v>99999</v>
      </c>
      <c r="I228" t="s">
        <v>30</v>
      </c>
      <c r="J228" t="s">
        <v>129</v>
      </c>
      <c r="K228" t="s">
        <v>32</v>
      </c>
      <c r="L228" s="2">
        <v>41893</v>
      </c>
      <c r="M228" t="s">
        <v>46</v>
      </c>
      <c r="N228" t="s">
        <v>130</v>
      </c>
      <c r="O228" t="s">
        <v>126</v>
      </c>
      <c r="P228" t="s">
        <v>127</v>
      </c>
      <c r="Q228" t="s">
        <v>128</v>
      </c>
      <c r="R228">
        <v>99999</v>
      </c>
      <c r="S228" t="s">
        <v>30</v>
      </c>
      <c r="T228" t="s">
        <v>35</v>
      </c>
      <c r="U228" t="s">
        <v>133</v>
      </c>
      <c r="V228" t="s">
        <v>134</v>
      </c>
      <c r="W228" s="3">
        <v>34.799999999999997</v>
      </c>
      <c r="X228">
        <v>57</v>
      </c>
      <c r="Y228" s="4">
        <v>1983.6</v>
      </c>
      <c r="Z228" s="3">
        <v>194.39280000000002</v>
      </c>
    </row>
    <row r="229" spans="1:26" x14ac:dyDescent="0.35">
      <c r="A229">
        <v>1260</v>
      </c>
      <c r="B229" s="2">
        <v>41888</v>
      </c>
      <c r="C229">
        <v>6</v>
      </c>
      <c r="D229" t="s">
        <v>82</v>
      </c>
      <c r="E229" t="s">
        <v>83</v>
      </c>
      <c r="F229" t="s">
        <v>84</v>
      </c>
      <c r="G229" t="s">
        <v>85</v>
      </c>
      <c r="H229">
        <v>99999</v>
      </c>
      <c r="I229" t="s">
        <v>30</v>
      </c>
      <c r="J229" t="s">
        <v>86</v>
      </c>
      <c r="K229" t="s">
        <v>61</v>
      </c>
      <c r="L229" s="2">
        <v>41890</v>
      </c>
      <c r="M229" t="s">
        <v>33</v>
      </c>
      <c r="N229" t="s">
        <v>87</v>
      </c>
      <c r="O229" t="s">
        <v>83</v>
      </c>
      <c r="P229" t="s">
        <v>84</v>
      </c>
      <c r="Q229" t="s">
        <v>85</v>
      </c>
      <c r="R229">
        <v>99999</v>
      </c>
      <c r="S229" t="s">
        <v>30</v>
      </c>
      <c r="T229" t="s">
        <v>48</v>
      </c>
      <c r="U229" t="s">
        <v>36</v>
      </c>
      <c r="V229" t="s">
        <v>37</v>
      </c>
      <c r="W229" s="3">
        <v>14</v>
      </c>
      <c r="X229">
        <v>67</v>
      </c>
      <c r="Y229" s="4">
        <v>938</v>
      </c>
      <c r="Z229" s="3">
        <v>98.490000000000009</v>
      </c>
    </row>
    <row r="230" spans="1:26" x14ac:dyDescent="0.35">
      <c r="A230">
        <v>1261</v>
      </c>
      <c r="B230" s="2">
        <v>41890</v>
      </c>
      <c r="C230">
        <v>8</v>
      </c>
      <c r="D230" t="s">
        <v>56</v>
      </c>
      <c r="E230" t="s">
        <v>57</v>
      </c>
      <c r="F230" t="s">
        <v>58</v>
      </c>
      <c r="G230" t="s">
        <v>59</v>
      </c>
      <c r="H230">
        <v>99999</v>
      </c>
      <c r="I230" t="s">
        <v>30</v>
      </c>
      <c r="J230" t="s">
        <v>60</v>
      </c>
      <c r="K230" t="s">
        <v>61</v>
      </c>
      <c r="L230">
        <v>41892</v>
      </c>
      <c r="M230" t="s">
        <v>33</v>
      </c>
      <c r="N230" t="s">
        <v>63</v>
      </c>
      <c r="O230" t="s">
        <v>57</v>
      </c>
      <c r="P230" t="s">
        <v>58</v>
      </c>
      <c r="Q230" t="s">
        <v>59</v>
      </c>
      <c r="R230">
        <v>99999</v>
      </c>
      <c r="S230" t="s">
        <v>30</v>
      </c>
      <c r="T230" t="s">
        <v>35</v>
      </c>
      <c r="U230" t="s">
        <v>88</v>
      </c>
      <c r="V230" t="s">
        <v>89</v>
      </c>
      <c r="W230" s="3">
        <v>40</v>
      </c>
      <c r="X230">
        <v>48</v>
      </c>
      <c r="Y230" s="4">
        <v>1920</v>
      </c>
      <c r="Z230" s="3">
        <v>188.16</v>
      </c>
    </row>
    <row r="231" spans="1:26" x14ac:dyDescent="0.35">
      <c r="A231">
        <v>1262</v>
      </c>
      <c r="B231" s="2">
        <v>41890</v>
      </c>
      <c r="C231">
        <v>8</v>
      </c>
      <c r="D231" t="s">
        <v>56</v>
      </c>
      <c r="E231" t="s">
        <v>57</v>
      </c>
      <c r="F231" t="s">
        <v>58</v>
      </c>
      <c r="G231" t="s">
        <v>59</v>
      </c>
      <c r="H231">
        <v>99999</v>
      </c>
      <c r="I231" t="s">
        <v>30</v>
      </c>
      <c r="J231" t="s">
        <v>60</v>
      </c>
      <c r="K231" t="s">
        <v>61</v>
      </c>
      <c r="L231">
        <v>41892</v>
      </c>
      <c r="M231" t="s">
        <v>33</v>
      </c>
      <c r="N231" t="s">
        <v>63</v>
      </c>
      <c r="O231" t="s">
        <v>57</v>
      </c>
      <c r="P231" t="s">
        <v>58</v>
      </c>
      <c r="Q231" t="s">
        <v>59</v>
      </c>
      <c r="R231">
        <v>99999</v>
      </c>
      <c r="S231" t="s">
        <v>30</v>
      </c>
      <c r="T231" t="s">
        <v>35</v>
      </c>
      <c r="U231" t="s">
        <v>64</v>
      </c>
      <c r="V231" t="s">
        <v>65</v>
      </c>
      <c r="W231" s="3">
        <v>9.1999999999999993</v>
      </c>
      <c r="X231">
        <v>77</v>
      </c>
      <c r="Y231" s="4">
        <v>708.4</v>
      </c>
      <c r="Z231" s="3">
        <v>72.256799999999998</v>
      </c>
    </row>
    <row r="232" spans="1:26" x14ac:dyDescent="0.35">
      <c r="A232">
        <v>1263</v>
      </c>
      <c r="B232" s="2">
        <v>41907</v>
      </c>
      <c r="C232">
        <v>25</v>
      </c>
      <c r="D232" t="s">
        <v>137</v>
      </c>
      <c r="E232" t="s">
        <v>138</v>
      </c>
      <c r="F232" t="s">
        <v>99</v>
      </c>
      <c r="G232" t="s">
        <v>100</v>
      </c>
      <c r="H232">
        <v>99999</v>
      </c>
      <c r="I232" t="s">
        <v>30</v>
      </c>
      <c r="J232" t="s">
        <v>101</v>
      </c>
      <c r="K232" t="s">
        <v>45</v>
      </c>
      <c r="L232">
        <v>41909</v>
      </c>
      <c r="M232" t="s">
        <v>46</v>
      </c>
      <c r="N232" t="s">
        <v>139</v>
      </c>
      <c r="O232" t="s">
        <v>138</v>
      </c>
      <c r="P232" t="s">
        <v>99</v>
      </c>
      <c r="Q232" t="s">
        <v>100</v>
      </c>
      <c r="R232">
        <v>99999</v>
      </c>
      <c r="S232" t="s">
        <v>30</v>
      </c>
      <c r="T232" t="s">
        <v>79</v>
      </c>
      <c r="U232" t="s">
        <v>146</v>
      </c>
      <c r="V232" t="s">
        <v>65</v>
      </c>
      <c r="W232" s="3">
        <v>10</v>
      </c>
      <c r="X232">
        <v>94</v>
      </c>
      <c r="Y232" s="4">
        <v>940</v>
      </c>
      <c r="Z232" s="3">
        <v>97.76</v>
      </c>
    </row>
    <row r="233" spans="1:26" x14ac:dyDescent="0.35">
      <c r="A233">
        <v>1264</v>
      </c>
      <c r="B233" s="2">
        <v>41908</v>
      </c>
      <c r="C233">
        <v>26</v>
      </c>
      <c r="D233" t="s">
        <v>140</v>
      </c>
      <c r="E233" t="s">
        <v>141</v>
      </c>
      <c r="F233" t="s">
        <v>115</v>
      </c>
      <c r="G233" t="s">
        <v>116</v>
      </c>
      <c r="H233">
        <v>99999</v>
      </c>
      <c r="I233" t="s">
        <v>30</v>
      </c>
      <c r="J233" t="s">
        <v>94</v>
      </c>
      <c r="K233" t="s">
        <v>95</v>
      </c>
      <c r="L233">
        <v>41910</v>
      </c>
      <c r="M233" t="s">
        <v>62</v>
      </c>
      <c r="N233" t="s">
        <v>142</v>
      </c>
      <c r="O233" t="s">
        <v>141</v>
      </c>
      <c r="P233" t="s">
        <v>115</v>
      </c>
      <c r="Q233" t="s">
        <v>116</v>
      </c>
      <c r="R233">
        <v>99999</v>
      </c>
      <c r="S233" t="s">
        <v>30</v>
      </c>
      <c r="T233" t="s">
        <v>48</v>
      </c>
      <c r="U233" t="s">
        <v>147</v>
      </c>
      <c r="V233" t="s">
        <v>148</v>
      </c>
      <c r="W233" s="3">
        <v>21.35</v>
      </c>
      <c r="X233">
        <v>54</v>
      </c>
      <c r="Y233" s="4">
        <v>1152.9000000000001</v>
      </c>
      <c r="Z233" s="3">
        <v>121.05450000000003</v>
      </c>
    </row>
    <row r="234" spans="1:26" x14ac:dyDescent="0.35">
      <c r="A234">
        <v>1265</v>
      </c>
      <c r="B234" s="2">
        <v>41908</v>
      </c>
      <c r="C234">
        <v>26</v>
      </c>
      <c r="D234" t="s">
        <v>140</v>
      </c>
      <c r="E234" t="s">
        <v>141</v>
      </c>
      <c r="F234" t="s">
        <v>115</v>
      </c>
      <c r="G234" t="s">
        <v>116</v>
      </c>
      <c r="H234">
        <v>99999</v>
      </c>
      <c r="I234" t="s">
        <v>30</v>
      </c>
      <c r="J234" t="s">
        <v>94</v>
      </c>
      <c r="K234" t="s">
        <v>95</v>
      </c>
      <c r="L234">
        <v>41910</v>
      </c>
      <c r="M234" t="s">
        <v>62</v>
      </c>
      <c r="N234" t="s">
        <v>142</v>
      </c>
      <c r="O234" t="s">
        <v>141</v>
      </c>
      <c r="P234" t="s">
        <v>115</v>
      </c>
      <c r="Q234" t="s">
        <v>116</v>
      </c>
      <c r="R234">
        <v>99999</v>
      </c>
      <c r="S234" t="s">
        <v>30</v>
      </c>
      <c r="T234" t="s">
        <v>48</v>
      </c>
      <c r="U234" t="s">
        <v>80</v>
      </c>
      <c r="V234" t="s">
        <v>81</v>
      </c>
      <c r="W234" s="3">
        <v>9.65</v>
      </c>
      <c r="X234">
        <v>43</v>
      </c>
      <c r="Y234" s="4">
        <v>414.95</v>
      </c>
      <c r="Z234" s="3">
        <v>40.250150000000005</v>
      </c>
    </row>
    <row r="235" spans="1:26" x14ac:dyDescent="0.35">
      <c r="A235">
        <v>1266</v>
      </c>
      <c r="B235" s="2">
        <v>41908</v>
      </c>
      <c r="C235">
        <v>26</v>
      </c>
      <c r="D235" t="s">
        <v>140</v>
      </c>
      <c r="E235" t="s">
        <v>141</v>
      </c>
      <c r="F235" t="s">
        <v>115</v>
      </c>
      <c r="G235" t="s">
        <v>116</v>
      </c>
      <c r="H235">
        <v>99999</v>
      </c>
      <c r="I235" t="s">
        <v>30</v>
      </c>
      <c r="J235" t="s">
        <v>94</v>
      </c>
      <c r="K235" t="s">
        <v>95</v>
      </c>
      <c r="L235" s="2">
        <v>41910</v>
      </c>
      <c r="M235" t="s">
        <v>62</v>
      </c>
      <c r="N235" t="s">
        <v>142</v>
      </c>
      <c r="O235" t="s">
        <v>141</v>
      </c>
      <c r="P235" t="s">
        <v>115</v>
      </c>
      <c r="Q235" t="s">
        <v>116</v>
      </c>
      <c r="R235">
        <v>99999</v>
      </c>
      <c r="S235" t="s">
        <v>30</v>
      </c>
      <c r="T235" t="s">
        <v>48</v>
      </c>
      <c r="U235" t="s">
        <v>123</v>
      </c>
      <c r="V235" t="s">
        <v>124</v>
      </c>
      <c r="W235" s="3">
        <v>18.399999999999999</v>
      </c>
      <c r="X235">
        <v>71</v>
      </c>
      <c r="Y235" s="4">
        <v>1306.3999999999999</v>
      </c>
      <c r="Z235" s="3">
        <v>134.55919999999998</v>
      </c>
    </row>
    <row r="236" spans="1:26" x14ac:dyDescent="0.35">
      <c r="A236">
        <v>1267</v>
      </c>
      <c r="B236" s="2">
        <v>41911</v>
      </c>
      <c r="C236">
        <v>29</v>
      </c>
      <c r="D236" t="s">
        <v>66</v>
      </c>
      <c r="E236" t="s">
        <v>67</v>
      </c>
      <c r="F236" t="s">
        <v>68</v>
      </c>
      <c r="G236" t="s">
        <v>69</v>
      </c>
      <c r="H236">
        <v>99999</v>
      </c>
      <c r="I236" t="s">
        <v>30</v>
      </c>
      <c r="J236" t="s">
        <v>70</v>
      </c>
      <c r="K236" t="s">
        <v>32</v>
      </c>
      <c r="L236" s="2">
        <v>41913</v>
      </c>
      <c r="M236" t="s">
        <v>33</v>
      </c>
      <c r="N236" t="s">
        <v>71</v>
      </c>
      <c r="O236" t="s">
        <v>67</v>
      </c>
      <c r="P236" t="s">
        <v>68</v>
      </c>
      <c r="Q236" t="s">
        <v>69</v>
      </c>
      <c r="R236">
        <v>99999</v>
      </c>
      <c r="S236" t="s">
        <v>30</v>
      </c>
      <c r="T236" t="s">
        <v>35</v>
      </c>
      <c r="U236" t="s">
        <v>36</v>
      </c>
      <c r="V236" t="s">
        <v>37</v>
      </c>
      <c r="W236" s="3">
        <v>14</v>
      </c>
      <c r="X236">
        <v>50</v>
      </c>
      <c r="Y236" s="4">
        <v>700</v>
      </c>
      <c r="Z236" s="3">
        <v>67.2</v>
      </c>
    </row>
    <row r="237" spans="1:26" x14ac:dyDescent="0.35">
      <c r="A237">
        <v>1268</v>
      </c>
      <c r="B237" s="2">
        <v>41888</v>
      </c>
      <c r="C237">
        <v>6</v>
      </c>
      <c r="D237" t="s">
        <v>82</v>
      </c>
      <c r="E237" t="s">
        <v>83</v>
      </c>
      <c r="F237" t="s">
        <v>84</v>
      </c>
      <c r="G237" t="s">
        <v>85</v>
      </c>
      <c r="H237">
        <v>99999</v>
      </c>
      <c r="I237" t="s">
        <v>30</v>
      </c>
      <c r="J237" t="s">
        <v>86</v>
      </c>
      <c r="K237" t="s">
        <v>61</v>
      </c>
      <c r="L237" s="2">
        <v>41890</v>
      </c>
      <c r="M237" t="s">
        <v>62</v>
      </c>
      <c r="N237" t="s">
        <v>87</v>
      </c>
      <c r="O237" t="s">
        <v>83</v>
      </c>
      <c r="P237" t="s">
        <v>84</v>
      </c>
      <c r="Q237" t="s">
        <v>85</v>
      </c>
      <c r="R237">
        <v>99999</v>
      </c>
      <c r="S237" t="s">
        <v>30</v>
      </c>
      <c r="T237" t="s">
        <v>35</v>
      </c>
      <c r="U237" t="s">
        <v>72</v>
      </c>
      <c r="V237" t="s">
        <v>73</v>
      </c>
      <c r="W237" s="3">
        <v>12.75</v>
      </c>
      <c r="X237">
        <v>96</v>
      </c>
      <c r="Y237" s="4">
        <v>1224</v>
      </c>
      <c r="Z237" s="3">
        <v>119.952</v>
      </c>
    </row>
    <row r="238" spans="1:26" x14ac:dyDescent="0.35">
      <c r="A238">
        <v>1270</v>
      </c>
      <c r="B238" s="2">
        <v>41886</v>
      </c>
      <c r="C238">
        <v>4</v>
      </c>
      <c r="D238" t="s">
        <v>40</v>
      </c>
      <c r="E238" t="s">
        <v>41</v>
      </c>
      <c r="F238" t="s">
        <v>42</v>
      </c>
      <c r="G238" t="s">
        <v>43</v>
      </c>
      <c r="H238">
        <v>99999</v>
      </c>
      <c r="I238" t="s">
        <v>30</v>
      </c>
      <c r="J238" t="s">
        <v>44</v>
      </c>
      <c r="K238" t="s">
        <v>45</v>
      </c>
      <c r="L238" s="2">
        <v>41888</v>
      </c>
      <c r="M238" t="s">
        <v>46</v>
      </c>
      <c r="N238" t="s">
        <v>47</v>
      </c>
      <c r="O238" t="s">
        <v>41</v>
      </c>
      <c r="P238" t="s">
        <v>42</v>
      </c>
      <c r="Q238" t="s">
        <v>43</v>
      </c>
      <c r="R238">
        <v>99999</v>
      </c>
      <c r="S238" t="s">
        <v>30</v>
      </c>
      <c r="T238" t="s">
        <v>48</v>
      </c>
      <c r="U238" t="s">
        <v>149</v>
      </c>
      <c r="V238" t="s">
        <v>110</v>
      </c>
      <c r="W238" s="3">
        <v>81</v>
      </c>
      <c r="X238">
        <v>54</v>
      </c>
      <c r="Y238" s="4">
        <v>4374</v>
      </c>
      <c r="Z238" s="3">
        <v>437.40000000000003</v>
      </c>
    </row>
    <row r="239" spans="1:26" x14ac:dyDescent="0.35">
      <c r="A239">
        <v>1271</v>
      </c>
      <c r="B239" s="2">
        <v>41886</v>
      </c>
      <c r="C239">
        <v>4</v>
      </c>
      <c r="D239" t="s">
        <v>40</v>
      </c>
      <c r="E239" t="s">
        <v>41</v>
      </c>
      <c r="F239" t="s">
        <v>42</v>
      </c>
      <c r="G239" t="s">
        <v>43</v>
      </c>
      <c r="H239">
        <v>99999</v>
      </c>
      <c r="I239" t="s">
        <v>30</v>
      </c>
      <c r="J239" t="s">
        <v>44</v>
      </c>
      <c r="K239" t="s">
        <v>45</v>
      </c>
      <c r="L239" s="2">
        <v>41888</v>
      </c>
      <c r="M239" t="s">
        <v>46</v>
      </c>
      <c r="N239" t="s">
        <v>47</v>
      </c>
      <c r="O239" t="s">
        <v>41</v>
      </c>
      <c r="P239" t="s">
        <v>42</v>
      </c>
      <c r="Q239" t="s">
        <v>43</v>
      </c>
      <c r="R239">
        <v>99999</v>
      </c>
      <c r="S239" t="s">
        <v>30</v>
      </c>
      <c r="T239" t="s">
        <v>48</v>
      </c>
      <c r="U239" t="s">
        <v>150</v>
      </c>
      <c r="V239" t="s">
        <v>151</v>
      </c>
      <c r="W239" s="3">
        <v>7</v>
      </c>
      <c r="X239">
        <v>39</v>
      </c>
      <c r="Y239" s="4">
        <v>273</v>
      </c>
      <c r="Z239" s="3">
        <v>27.3</v>
      </c>
    </row>
    <row r="240" spans="1:26" x14ac:dyDescent="0.35">
      <c r="A240">
        <v>1273</v>
      </c>
      <c r="B240" s="2">
        <v>41890</v>
      </c>
      <c r="C240">
        <v>8</v>
      </c>
      <c r="D240" t="s">
        <v>56</v>
      </c>
      <c r="E240" t="s">
        <v>57</v>
      </c>
      <c r="F240" t="s">
        <v>58</v>
      </c>
      <c r="G240" t="s">
        <v>59</v>
      </c>
      <c r="H240">
        <v>99999</v>
      </c>
      <c r="I240" t="s">
        <v>30</v>
      </c>
      <c r="J240" t="s">
        <v>60</v>
      </c>
      <c r="K240" t="s">
        <v>61</v>
      </c>
      <c r="L240" s="2">
        <v>41892</v>
      </c>
      <c r="M240" t="s">
        <v>62</v>
      </c>
      <c r="N240" t="s">
        <v>63</v>
      </c>
      <c r="O240" t="s">
        <v>57</v>
      </c>
      <c r="P240" t="s">
        <v>58</v>
      </c>
      <c r="Q240" t="s">
        <v>59</v>
      </c>
      <c r="R240">
        <v>99999</v>
      </c>
      <c r="S240" t="s">
        <v>30</v>
      </c>
      <c r="T240" t="s">
        <v>48</v>
      </c>
      <c r="U240" t="s">
        <v>133</v>
      </c>
      <c r="V240" t="s">
        <v>134</v>
      </c>
      <c r="W240" s="3">
        <v>34.799999999999997</v>
      </c>
      <c r="X240">
        <v>63</v>
      </c>
      <c r="Y240" s="4">
        <v>2192.3999999999996</v>
      </c>
      <c r="Z240" s="3">
        <v>230.202</v>
      </c>
    </row>
    <row r="241" spans="1:26" x14ac:dyDescent="0.35">
      <c r="A241">
        <v>1276</v>
      </c>
      <c r="B241" s="2">
        <v>41885</v>
      </c>
      <c r="C241">
        <v>3</v>
      </c>
      <c r="D241" t="s">
        <v>74</v>
      </c>
      <c r="E241" t="s">
        <v>75</v>
      </c>
      <c r="F241" t="s">
        <v>76</v>
      </c>
      <c r="G241" t="s">
        <v>77</v>
      </c>
      <c r="H241">
        <v>99999</v>
      </c>
      <c r="I241" t="s">
        <v>30</v>
      </c>
      <c r="J241" t="s">
        <v>31</v>
      </c>
      <c r="K241" t="s">
        <v>32</v>
      </c>
      <c r="L241" s="2">
        <v>41887</v>
      </c>
      <c r="M241" t="s">
        <v>33</v>
      </c>
      <c r="N241" t="s">
        <v>78</v>
      </c>
      <c r="O241" t="s">
        <v>75</v>
      </c>
      <c r="P241" t="s">
        <v>76</v>
      </c>
      <c r="Q241" t="s">
        <v>77</v>
      </c>
      <c r="R241">
        <v>99999</v>
      </c>
      <c r="S241" t="s">
        <v>30</v>
      </c>
      <c r="T241" t="s">
        <v>79</v>
      </c>
      <c r="U241" t="s">
        <v>135</v>
      </c>
      <c r="V241" t="s">
        <v>112</v>
      </c>
      <c r="W241" s="3">
        <v>10</v>
      </c>
      <c r="X241">
        <v>71</v>
      </c>
      <c r="Y241" s="4">
        <v>710</v>
      </c>
      <c r="Z241" s="3">
        <v>73.13</v>
      </c>
    </row>
    <row r="242" spans="1:26" x14ac:dyDescent="0.35">
      <c r="A242">
        <v>1277</v>
      </c>
      <c r="B242" s="2">
        <v>41885</v>
      </c>
      <c r="C242">
        <v>3</v>
      </c>
      <c r="D242" t="s">
        <v>74</v>
      </c>
      <c r="E242" t="s">
        <v>75</v>
      </c>
      <c r="F242" t="s">
        <v>76</v>
      </c>
      <c r="G242" t="s">
        <v>77</v>
      </c>
      <c r="H242">
        <v>99999</v>
      </c>
      <c r="I242" t="s">
        <v>30</v>
      </c>
      <c r="J242" t="s">
        <v>31</v>
      </c>
      <c r="K242" t="s">
        <v>32</v>
      </c>
      <c r="L242" s="2">
        <v>41887</v>
      </c>
      <c r="M242" t="s">
        <v>33</v>
      </c>
      <c r="N242" t="s">
        <v>78</v>
      </c>
      <c r="O242" t="s">
        <v>75</v>
      </c>
      <c r="P242" t="s">
        <v>76</v>
      </c>
      <c r="Q242" t="s">
        <v>77</v>
      </c>
      <c r="R242">
        <v>99999</v>
      </c>
      <c r="S242" t="s">
        <v>30</v>
      </c>
      <c r="T242" t="s">
        <v>79</v>
      </c>
      <c r="U242" t="s">
        <v>88</v>
      </c>
      <c r="V242" t="s">
        <v>89</v>
      </c>
      <c r="W242" s="3">
        <v>40</v>
      </c>
      <c r="X242">
        <v>88</v>
      </c>
      <c r="Y242" s="4">
        <v>3520</v>
      </c>
      <c r="Z242" s="3">
        <v>366.08000000000004</v>
      </c>
    </row>
    <row r="243" spans="1:26" x14ac:dyDescent="0.35">
      <c r="A243">
        <v>1281</v>
      </c>
      <c r="B243" s="2">
        <v>41892</v>
      </c>
      <c r="C243">
        <v>10</v>
      </c>
      <c r="D243" t="s">
        <v>97</v>
      </c>
      <c r="E243" t="s">
        <v>98</v>
      </c>
      <c r="F243" t="s">
        <v>99</v>
      </c>
      <c r="G243" t="s">
        <v>100</v>
      </c>
      <c r="H243">
        <v>99999</v>
      </c>
      <c r="I243" t="s">
        <v>30</v>
      </c>
      <c r="J243" t="s">
        <v>101</v>
      </c>
      <c r="K243" t="s">
        <v>45</v>
      </c>
      <c r="L243" s="2">
        <v>41894</v>
      </c>
      <c r="M243" t="s">
        <v>33</v>
      </c>
      <c r="N243" t="s">
        <v>102</v>
      </c>
      <c r="O243" t="s">
        <v>98</v>
      </c>
      <c r="P243" t="s">
        <v>99</v>
      </c>
      <c r="Q243" t="s">
        <v>100</v>
      </c>
      <c r="R243">
        <v>99999</v>
      </c>
      <c r="S243" t="s">
        <v>30</v>
      </c>
      <c r="T243" t="s">
        <v>48</v>
      </c>
      <c r="U243" t="s">
        <v>136</v>
      </c>
      <c r="V243" t="s">
        <v>39</v>
      </c>
      <c r="W243" s="3">
        <v>10</v>
      </c>
      <c r="X243">
        <v>59</v>
      </c>
      <c r="Y243" s="4">
        <v>590</v>
      </c>
      <c r="Z243" s="3">
        <v>59.59</v>
      </c>
    </row>
    <row r="244" spans="1:26" x14ac:dyDescent="0.35">
      <c r="A244">
        <v>1282</v>
      </c>
      <c r="B244" s="2">
        <v>41918</v>
      </c>
      <c r="C244">
        <v>6</v>
      </c>
      <c r="D244" t="s">
        <v>82</v>
      </c>
      <c r="E244" t="s">
        <v>83</v>
      </c>
      <c r="F244" t="s">
        <v>84</v>
      </c>
      <c r="G244" t="s">
        <v>85</v>
      </c>
      <c r="H244">
        <v>99999</v>
      </c>
      <c r="I244" t="s">
        <v>30</v>
      </c>
      <c r="J244" t="s">
        <v>86</v>
      </c>
      <c r="K244" t="s">
        <v>61</v>
      </c>
      <c r="L244" s="2">
        <v>41920</v>
      </c>
      <c r="M244" t="s">
        <v>33</v>
      </c>
      <c r="N244" t="s">
        <v>87</v>
      </c>
      <c r="O244" t="s">
        <v>83</v>
      </c>
      <c r="P244" t="s">
        <v>84</v>
      </c>
      <c r="Q244" t="s">
        <v>85</v>
      </c>
      <c r="R244">
        <v>99999</v>
      </c>
      <c r="S244" t="s">
        <v>30</v>
      </c>
      <c r="T244" t="s">
        <v>48</v>
      </c>
      <c r="U244" t="s">
        <v>88</v>
      </c>
      <c r="V244" t="s">
        <v>89</v>
      </c>
      <c r="W244" s="3">
        <v>40</v>
      </c>
      <c r="X244">
        <v>94</v>
      </c>
      <c r="Y244" s="4">
        <v>3760</v>
      </c>
      <c r="Z244" s="3">
        <v>376</v>
      </c>
    </row>
    <row r="245" spans="1:26" x14ac:dyDescent="0.35">
      <c r="A245">
        <v>1283</v>
      </c>
      <c r="B245" s="2">
        <v>41940</v>
      </c>
      <c r="C245">
        <v>28</v>
      </c>
      <c r="D245" t="s">
        <v>90</v>
      </c>
      <c r="E245" t="s">
        <v>91</v>
      </c>
      <c r="F245" t="s">
        <v>92</v>
      </c>
      <c r="G245" t="s">
        <v>93</v>
      </c>
      <c r="H245">
        <v>99999</v>
      </c>
      <c r="I245" t="s">
        <v>30</v>
      </c>
      <c r="J245" t="s">
        <v>94</v>
      </c>
      <c r="K245" t="s">
        <v>95</v>
      </c>
      <c r="L245" s="2">
        <v>41942</v>
      </c>
      <c r="M245" t="s">
        <v>62</v>
      </c>
      <c r="N245" t="s">
        <v>96</v>
      </c>
      <c r="O245" t="s">
        <v>91</v>
      </c>
      <c r="P245" t="s">
        <v>92</v>
      </c>
      <c r="Q245" t="s">
        <v>93</v>
      </c>
      <c r="R245">
        <v>99999</v>
      </c>
      <c r="S245" t="s">
        <v>30</v>
      </c>
      <c r="T245" t="s">
        <v>35</v>
      </c>
      <c r="U245" t="s">
        <v>55</v>
      </c>
      <c r="V245" t="s">
        <v>37</v>
      </c>
      <c r="W245" s="3">
        <v>46</v>
      </c>
      <c r="X245">
        <v>86</v>
      </c>
      <c r="Y245" s="4">
        <v>3956</v>
      </c>
      <c r="Z245" s="3">
        <v>379.77600000000001</v>
      </c>
    </row>
    <row r="246" spans="1:26" x14ac:dyDescent="0.35">
      <c r="A246">
        <v>1284</v>
      </c>
      <c r="B246" s="2">
        <v>41920</v>
      </c>
      <c r="C246">
        <v>8</v>
      </c>
      <c r="D246" t="s">
        <v>56</v>
      </c>
      <c r="E246" t="s">
        <v>57</v>
      </c>
      <c r="F246" t="s">
        <v>58</v>
      </c>
      <c r="G246" t="s">
        <v>59</v>
      </c>
      <c r="H246">
        <v>99999</v>
      </c>
      <c r="I246" t="s">
        <v>30</v>
      </c>
      <c r="J246" t="s">
        <v>60</v>
      </c>
      <c r="K246" t="s">
        <v>61</v>
      </c>
      <c r="L246" s="2">
        <v>41922</v>
      </c>
      <c r="M246" t="s">
        <v>62</v>
      </c>
      <c r="N246" t="s">
        <v>63</v>
      </c>
      <c r="O246" t="s">
        <v>57</v>
      </c>
      <c r="P246" t="s">
        <v>58</v>
      </c>
      <c r="Q246" t="s">
        <v>59</v>
      </c>
      <c r="R246">
        <v>99999</v>
      </c>
      <c r="S246" t="s">
        <v>30</v>
      </c>
      <c r="T246" t="s">
        <v>35</v>
      </c>
      <c r="U246" t="s">
        <v>72</v>
      </c>
      <c r="V246" t="s">
        <v>73</v>
      </c>
      <c r="W246" s="3">
        <v>12.75</v>
      </c>
      <c r="X246">
        <v>61</v>
      </c>
      <c r="Y246" s="4">
        <v>777.75</v>
      </c>
      <c r="Z246" s="3">
        <v>78.552750000000003</v>
      </c>
    </row>
    <row r="247" spans="1:26" x14ac:dyDescent="0.35">
      <c r="A247">
        <v>1285</v>
      </c>
      <c r="B247" s="2">
        <v>41922</v>
      </c>
      <c r="C247">
        <v>10</v>
      </c>
      <c r="D247" t="s">
        <v>97</v>
      </c>
      <c r="E247" t="s">
        <v>98</v>
      </c>
      <c r="F247" t="s">
        <v>99</v>
      </c>
      <c r="G247" t="s">
        <v>100</v>
      </c>
      <c r="H247">
        <v>99999</v>
      </c>
      <c r="I247" t="s">
        <v>30</v>
      </c>
      <c r="J247" t="s">
        <v>101</v>
      </c>
      <c r="K247" t="s">
        <v>45</v>
      </c>
      <c r="L247" s="2">
        <v>41924</v>
      </c>
      <c r="M247" t="s">
        <v>33</v>
      </c>
      <c r="N247" t="s">
        <v>102</v>
      </c>
      <c r="O247" t="s">
        <v>98</v>
      </c>
      <c r="P247" t="s">
        <v>99</v>
      </c>
      <c r="Q247" t="s">
        <v>100</v>
      </c>
      <c r="R247">
        <v>99999</v>
      </c>
      <c r="S247" t="s">
        <v>30</v>
      </c>
      <c r="T247" t="s">
        <v>48</v>
      </c>
      <c r="U247" t="s">
        <v>103</v>
      </c>
      <c r="V247" t="s">
        <v>37</v>
      </c>
      <c r="W247" s="3">
        <v>2.99</v>
      </c>
      <c r="X247">
        <v>32</v>
      </c>
      <c r="Y247" s="4">
        <v>95.68</v>
      </c>
      <c r="Z247" s="3">
        <v>9.7593600000000009</v>
      </c>
    </row>
    <row r="248" spans="1:26" x14ac:dyDescent="0.35">
      <c r="A248">
        <v>1286</v>
      </c>
      <c r="B248" s="2">
        <v>41919</v>
      </c>
      <c r="C248">
        <v>7</v>
      </c>
      <c r="D248" t="s">
        <v>104</v>
      </c>
      <c r="E248" t="s">
        <v>105</v>
      </c>
      <c r="F248" t="s">
        <v>106</v>
      </c>
      <c r="G248" t="s">
        <v>107</v>
      </c>
      <c r="H248">
        <v>99999</v>
      </c>
      <c r="I248" t="s">
        <v>30</v>
      </c>
      <c r="J248" t="s">
        <v>60</v>
      </c>
      <c r="K248" t="s">
        <v>61</v>
      </c>
      <c r="L248" s="2"/>
      <c r="N248" t="s">
        <v>108</v>
      </c>
      <c r="O248" t="s">
        <v>105</v>
      </c>
      <c r="P248" t="s">
        <v>106</v>
      </c>
      <c r="Q248" t="s">
        <v>107</v>
      </c>
      <c r="R248">
        <v>99999</v>
      </c>
      <c r="S248" t="s">
        <v>30</v>
      </c>
      <c r="U248" t="s">
        <v>55</v>
      </c>
      <c r="V248" t="s">
        <v>37</v>
      </c>
      <c r="W248">
        <v>46</v>
      </c>
      <c r="X248">
        <v>62</v>
      </c>
      <c r="Y248" s="4">
        <v>2852</v>
      </c>
      <c r="Z248" s="3">
        <v>290.904</v>
      </c>
    </row>
    <row r="249" spans="1:26" x14ac:dyDescent="0.35">
      <c r="A249">
        <v>1287</v>
      </c>
      <c r="B249" s="2">
        <v>41922</v>
      </c>
      <c r="C249">
        <v>10</v>
      </c>
      <c r="D249" t="s">
        <v>97</v>
      </c>
      <c r="E249" t="s">
        <v>98</v>
      </c>
      <c r="F249" t="s">
        <v>99</v>
      </c>
      <c r="G249" t="s">
        <v>100</v>
      </c>
      <c r="H249">
        <v>99999</v>
      </c>
      <c r="I249" t="s">
        <v>30</v>
      </c>
      <c r="J249" t="s">
        <v>101</v>
      </c>
      <c r="K249" t="s">
        <v>45</v>
      </c>
      <c r="L249" s="2">
        <v>41924</v>
      </c>
      <c r="M249" t="s">
        <v>46</v>
      </c>
      <c r="N249" t="s">
        <v>102</v>
      </c>
      <c r="O249" t="s">
        <v>98</v>
      </c>
      <c r="P249" t="s">
        <v>99</v>
      </c>
      <c r="Q249" t="s">
        <v>100</v>
      </c>
      <c r="R249">
        <v>99999</v>
      </c>
      <c r="S249" t="s">
        <v>30</v>
      </c>
      <c r="U249" t="s">
        <v>109</v>
      </c>
      <c r="V249" t="s">
        <v>110</v>
      </c>
      <c r="W249">
        <v>25</v>
      </c>
      <c r="X249">
        <v>60</v>
      </c>
      <c r="Y249" s="4">
        <v>1500</v>
      </c>
      <c r="Z249" s="3">
        <v>154.5</v>
      </c>
    </row>
    <row r="250" spans="1:26" x14ac:dyDescent="0.35">
      <c r="A250">
        <v>1288</v>
      </c>
      <c r="B250" s="2">
        <v>41922</v>
      </c>
      <c r="C250">
        <v>10</v>
      </c>
      <c r="D250" t="s">
        <v>97</v>
      </c>
      <c r="E250" t="s">
        <v>98</v>
      </c>
      <c r="F250" t="s">
        <v>99</v>
      </c>
      <c r="G250" t="s">
        <v>100</v>
      </c>
      <c r="H250">
        <v>99999</v>
      </c>
      <c r="I250" t="s">
        <v>30</v>
      </c>
      <c r="J250" t="s">
        <v>101</v>
      </c>
      <c r="K250" t="s">
        <v>45</v>
      </c>
      <c r="L250" s="2">
        <v>41924</v>
      </c>
      <c r="M250" t="s">
        <v>46</v>
      </c>
      <c r="N250" t="s">
        <v>102</v>
      </c>
      <c r="O250" t="s">
        <v>98</v>
      </c>
      <c r="P250" t="s">
        <v>99</v>
      </c>
      <c r="Q250" t="s">
        <v>100</v>
      </c>
      <c r="R250">
        <v>99999</v>
      </c>
      <c r="S250" t="s">
        <v>30</v>
      </c>
      <c r="U250" t="s">
        <v>111</v>
      </c>
      <c r="V250" t="s">
        <v>112</v>
      </c>
      <c r="W250">
        <v>22</v>
      </c>
      <c r="X250">
        <v>51</v>
      </c>
      <c r="Y250" s="4">
        <v>1122</v>
      </c>
      <c r="Z250" s="3">
        <v>109.956</v>
      </c>
    </row>
    <row r="251" spans="1:26" x14ac:dyDescent="0.35">
      <c r="A251">
        <v>1289</v>
      </c>
      <c r="B251" s="2">
        <v>41922</v>
      </c>
      <c r="C251">
        <v>10</v>
      </c>
      <c r="D251" t="s">
        <v>97</v>
      </c>
      <c r="E251" t="s">
        <v>98</v>
      </c>
      <c r="F251" t="s">
        <v>99</v>
      </c>
      <c r="G251" t="s">
        <v>100</v>
      </c>
      <c r="H251">
        <v>99999</v>
      </c>
      <c r="I251" t="s">
        <v>30</v>
      </c>
      <c r="J251" t="s">
        <v>101</v>
      </c>
      <c r="K251" t="s">
        <v>45</v>
      </c>
      <c r="L251" s="2">
        <v>41924</v>
      </c>
      <c r="M251" t="s">
        <v>46</v>
      </c>
      <c r="N251" t="s">
        <v>102</v>
      </c>
      <c r="O251" t="s">
        <v>98</v>
      </c>
      <c r="P251" t="s">
        <v>99</v>
      </c>
      <c r="Q251" t="s">
        <v>100</v>
      </c>
      <c r="R251">
        <v>99999</v>
      </c>
      <c r="S251" t="s">
        <v>30</v>
      </c>
      <c r="U251" t="s">
        <v>64</v>
      </c>
      <c r="V251" t="s">
        <v>65</v>
      </c>
      <c r="W251" s="3">
        <v>9.1999999999999993</v>
      </c>
      <c r="X251">
        <v>49</v>
      </c>
      <c r="Y251" s="4">
        <v>450.79999999999995</v>
      </c>
      <c r="Z251" s="3">
        <v>44.629199999999997</v>
      </c>
    </row>
    <row r="252" spans="1:26" x14ac:dyDescent="0.35">
      <c r="A252">
        <v>1290</v>
      </c>
      <c r="B252" s="2">
        <v>41923</v>
      </c>
      <c r="C252">
        <v>11</v>
      </c>
      <c r="D252" t="s">
        <v>113</v>
      </c>
      <c r="E252" t="s">
        <v>114</v>
      </c>
      <c r="F252" t="s">
        <v>115</v>
      </c>
      <c r="G252" t="s">
        <v>116</v>
      </c>
      <c r="H252">
        <v>99999</v>
      </c>
      <c r="I252" t="s">
        <v>30</v>
      </c>
      <c r="J252" t="s">
        <v>94</v>
      </c>
      <c r="K252" t="s">
        <v>95</v>
      </c>
      <c r="M252" t="s">
        <v>62</v>
      </c>
      <c r="N252" t="s">
        <v>117</v>
      </c>
      <c r="O252" t="s">
        <v>114</v>
      </c>
      <c r="P252" t="s">
        <v>115</v>
      </c>
      <c r="Q252" t="s">
        <v>116</v>
      </c>
      <c r="R252">
        <v>99999</v>
      </c>
      <c r="S252" t="s">
        <v>30</v>
      </c>
      <c r="U252" t="s">
        <v>38</v>
      </c>
      <c r="V252" t="s">
        <v>39</v>
      </c>
      <c r="W252" s="3">
        <v>3.5</v>
      </c>
      <c r="X252">
        <v>20</v>
      </c>
      <c r="Y252" s="4">
        <v>70</v>
      </c>
      <c r="Z252" s="3">
        <v>6.93</v>
      </c>
    </row>
    <row r="253" spans="1:26" x14ac:dyDescent="0.35">
      <c r="A253">
        <v>1291</v>
      </c>
      <c r="B253" s="2">
        <v>41923</v>
      </c>
      <c r="C253">
        <v>11</v>
      </c>
      <c r="D253" t="s">
        <v>113</v>
      </c>
      <c r="E253" t="s">
        <v>114</v>
      </c>
      <c r="F253" t="s">
        <v>115</v>
      </c>
      <c r="G253" t="s">
        <v>116</v>
      </c>
      <c r="H253">
        <v>99999</v>
      </c>
      <c r="I253" t="s">
        <v>30</v>
      </c>
      <c r="J253" t="s">
        <v>94</v>
      </c>
      <c r="K253" t="s">
        <v>95</v>
      </c>
      <c r="M253" t="s">
        <v>62</v>
      </c>
      <c r="N253" t="s">
        <v>117</v>
      </c>
      <c r="O253" t="s">
        <v>114</v>
      </c>
      <c r="P253" t="s">
        <v>115</v>
      </c>
      <c r="Q253" t="s">
        <v>116</v>
      </c>
      <c r="R253">
        <v>99999</v>
      </c>
      <c r="S253" t="s">
        <v>30</v>
      </c>
      <c r="U253" t="s">
        <v>103</v>
      </c>
      <c r="V253" t="s">
        <v>37</v>
      </c>
      <c r="W253" s="3">
        <v>2.99</v>
      </c>
      <c r="X253">
        <v>49</v>
      </c>
      <c r="Y253" s="4">
        <v>146.51000000000002</v>
      </c>
      <c r="Z253" s="3">
        <v>14.651000000000003</v>
      </c>
    </row>
    <row r="254" spans="1:26" x14ac:dyDescent="0.35">
      <c r="A254">
        <v>1292</v>
      </c>
      <c r="B254" s="2">
        <v>41913</v>
      </c>
      <c r="C254">
        <v>1</v>
      </c>
      <c r="D254" t="s">
        <v>118</v>
      </c>
      <c r="E254" t="s">
        <v>119</v>
      </c>
      <c r="F254" t="s">
        <v>120</v>
      </c>
      <c r="G254" t="s">
        <v>121</v>
      </c>
      <c r="H254">
        <v>99999</v>
      </c>
      <c r="I254" t="s">
        <v>30</v>
      </c>
      <c r="J254" t="s">
        <v>60</v>
      </c>
      <c r="K254" t="s">
        <v>61</v>
      </c>
      <c r="N254" t="s">
        <v>122</v>
      </c>
      <c r="O254" t="s">
        <v>119</v>
      </c>
      <c r="P254" t="s">
        <v>120</v>
      </c>
      <c r="Q254" t="s">
        <v>121</v>
      </c>
      <c r="R254">
        <v>99999</v>
      </c>
      <c r="S254" t="s">
        <v>30</v>
      </c>
      <c r="U254" t="s">
        <v>54</v>
      </c>
      <c r="V254" t="s">
        <v>37</v>
      </c>
      <c r="W254" s="3">
        <v>18</v>
      </c>
      <c r="X254">
        <v>22</v>
      </c>
      <c r="Y254" s="4">
        <v>396</v>
      </c>
      <c r="Z254" s="3">
        <v>38.015999999999998</v>
      </c>
    </row>
    <row r="255" spans="1:26" x14ac:dyDescent="0.35">
      <c r="A255">
        <v>1293</v>
      </c>
      <c r="B255" s="2">
        <v>41913</v>
      </c>
      <c r="C255">
        <v>1</v>
      </c>
      <c r="D255" t="s">
        <v>118</v>
      </c>
      <c r="E255" t="s">
        <v>119</v>
      </c>
      <c r="F255" t="s">
        <v>120</v>
      </c>
      <c r="G255" t="s">
        <v>121</v>
      </c>
      <c r="H255">
        <v>99999</v>
      </c>
      <c r="I255" t="s">
        <v>30</v>
      </c>
      <c r="J255" t="s">
        <v>60</v>
      </c>
      <c r="K255" t="s">
        <v>61</v>
      </c>
      <c r="N255" t="s">
        <v>122</v>
      </c>
      <c r="O255" t="s">
        <v>119</v>
      </c>
      <c r="P255" t="s">
        <v>120</v>
      </c>
      <c r="Q255" t="s">
        <v>121</v>
      </c>
      <c r="R255">
        <v>99999</v>
      </c>
      <c r="S255" t="s">
        <v>30</v>
      </c>
      <c r="U255" t="s">
        <v>55</v>
      </c>
      <c r="V255" t="s">
        <v>37</v>
      </c>
      <c r="W255" s="3">
        <v>46</v>
      </c>
      <c r="X255">
        <v>73</v>
      </c>
      <c r="Y255" s="4">
        <v>3358</v>
      </c>
      <c r="Z255" s="3">
        <v>339.15800000000002</v>
      </c>
    </row>
    <row r="256" spans="1:26" x14ac:dyDescent="0.35">
      <c r="A256">
        <v>1294</v>
      </c>
      <c r="B256" s="2">
        <v>41913</v>
      </c>
      <c r="C256">
        <v>1</v>
      </c>
      <c r="D256" t="s">
        <v>118</v>
      </c>
      <c r="E256" t="s">
        <v>119</v>
      </c>
      <c r="F256" t="s">
        <v>120</v>
      </c>
      <c r="G256" t="s">
        <v>121</v>
      </c>
      <c r="H256">
        <v>99999</v>
      </c>
      <c r="I256" t="s">
        <v>30</v>
      </c>
      <c r="J256" t="s">
        <v>60</v>
      </c>
      <c r="K256" t="s">
        <v>61</v>
      </c>
      <c r="N256" t="s">
        <v>122</v>
      </c>
      <c r="O256" t="s">
        <v>119</v>
      </c>
      <c r="P256" t="s">
        <v>120</v>
      </c>
      <c r="Q256" t="s">
        <v>121</v>
      </c>
      <c r="R256">
        <v>99999</v>
      </c>
      <c r="S256" t="s">
        <v>30</v>
      </c>
      <c r="U256" t="s">
        <v>103</v>
      </c>
      <c r="V256" t="s">
        <v>37</v>
      </c>
      <c r="W256" s="3">
        <v>2.99</v>
      </c>
      <c r="X256">
        <v>85</v>
      </c>
      <c r="Y256" s="4">
        <v>254.15</v>
      </c>
      <c r="Z256" s="3">
        <v>24.652550000000002</v>
      </c>
    </row>
    <row r="257" spans="1:26" x14ac:dyDescent="0.35">
      <c r="A257">
        <v>1295</v>
      </c>
      <c r="B257" s="2">
        <v>41940</v>
      </c>
      <c r="C257">
        <v>28</v>
      </c>
      <c r="D257" t="s">
        <v>90</v>
      </c>
      <c r="E257" t="s">
        <v>91</v>
      </c>
      <c r="F257" t="s">
        <v>92</v>
      </c>
      <c r="G257" t="s">
        <v>93</v>
      </c>
      <c r="H257">
        <v>99999</v>
      </c>
      <c r="I257" t="s">
        <v>30</v>
      </c>
      <c r="J257" t="s">
        <v>94</v>
      </c>
      <c r="K257" t="s">
        <v>95</v>
      </c>
      <c r="L257" s="2">
        <v>41942</v>
      </c>
      <c r="M257" t="s">
        <v>62</v>
      </c>
      <c r="N257" t="s">
        <v>96</v>
      </c>
      <c r="O257" t="s">
        <v>91</v>
      </c>
      <c r="P257" t="s">
        <v>92</v>
      </c>
      <c r="Q257" t="s">
        <v>93</v>
      </c>
      <c r="R257">
        <v>99999</v>
      </c>
      <c r="S257" t="s">
        <v>30</v>
      </c>
      <c r="T257" t="s">
        <v>48</v>
      </c>
      <c r="U257" t="s">
        <v>80</v>
      </c>
      <c r="V257" t="s">
        <v>81</v>
      </c>
      <c r="W257" s="3">
        <v>9.65</v>
      </c>
      <c r="X257">
        <v>44</v>
      </c>
      <c r="Y257" s="4">
        <v>424.6</v>
      </c>
      <c r="Z257" s="3">
        <v>44.158400000000007</v>
      </c>
    </row>
    <row r="258" spans="1:26" x14ac:dyDescent="0.35">
      <c r="A258">
        <v>1296</v>
      </c>
      <c r="B258" s="2">
        <v>41940</v>
      </c>
      <c r="C258">
        <v>28</v>
      </c>
      <c r="D258" t="s">
        <v>90</v>
      </c>
      <c r="E258" t="s">
        <v>91</v>
      </c>
      <c r="F258" t="s">
        <v>92</v>
      </c>
      <c r="G258" t="s">
        <v>93</v>
      </c>
      <c r="H258">
        <v>99999</v>
      </c>
      <c r="I258" t="s">
        <v>30</v>
      </c>
      <c r="J258" t="s">
        <v>94</v>
      </c>
      <c r="K258" t="s">
        <v>95</v>
      </c>
      <c r="L258" s="2">
        <v>41942</v>
      </c>
      <c r="M258" t="s">
        <v>62</v>
      </c>
      <c r="N258" t="s">
        <v>96</v>
      </c>
      <c r="O258" t="s">
        <v>91</v>
      </c>
      <c r="P258" t="s">
        <v>92</v>
      </c>
      <c r="Q258" t="s">
        <v>93</v>
      </c>
      <c r="R258">
        <v>99999</v>
      </c>
      <c r="S258" t="s">
        <v>30</v>
      </c>
      <c r="T258" t="s">
        <v>48</v>
      </c>
      <c r="U258" t="s">
        <v>123</v>
      </c>
      <c r="V258" t="s">
        <v>124</v>
      </c>
      <c r="W258" s="3">
        <v>18.399999999999999</v>
      </c>
      <c r="X258">
        <v>24</v>
      </c>
      <c r="Y258" s="4">
        <v>441.59999999999997</v>
      </c>
      <c r="Z258" s="3">
        <v>42.835199999999993</v>
      </c>
    </row>
    <row r="259" spans="1:26" x14ac:dyDescent="0.35">
      <c r="A259">
        <v>1297</v>
      </c>
      <c r="B259" s="2">
        <v>41921</v>
      </c>
      <c r="C259">
        <v>9</v>
      </c>
      <c r="D259" t="s">
        <v>125</v>
      </c>
      <c r="E259" t="s">
        <v>126</v>
      </c>
      <c r="F259" t="s">
        <v>127</v>
      </c>
      <c r="G259" t="s">
        <v>128</v>
      </c>
      <c r="H259">
        <v>99999</v>
      </c>
      <c r="I259" t="s">
        <v>30</v>
      </c>
      <c r="J259" t="s">
        <v>129</v>
      </c>
      <c r="K259" t="s">
        <v>32</v>
      </c>
      <c r="L259" s="2">
        <v>41923</v>
      </c>
      <c r="M259" t="s">
        <v>46</v>
      </c>
      <c r="N259" t="s">
        <v>130</v>
      </c>
      <c r="O259" t="s">
        <v>126</v>
      </c>
      <c r="P259" t="s">
        <v>127</v>
      </c>
      <c r="Q259" t="s">
        <v>128</v>
      </c>
      <c r="R259">
        <v>99999</v>
      </c>
      <c r="S259" t="s">
        <v>30</v>
      </c>
      <c r="T259" t="s">
        <v>35</v>
      </c>
      <c r="U259" t="s">
        <v>131</v>
      </c>
      <c r="V259" t="s">
        <v>132</v>
      </c>
      <c r="W259" s="3">
        <v>19.5</v>
      </c>
      <c r="X259">
        <v>64</v>
      </c>
      <c r="Y259" s="4">
        <v>1248</v>
      </c>
      <c r="Z259" s="3">
        <v>119.80800000000001</v>
      </c>
    </row>
    <row r="260" spans="1:26" x14ac:dyDescent="0.35">
      <c r="A260">
        <v>1298</v>
      </c>
      <c r="B260" s="2">
        <v>41921</v>
      </c>
      <c r="C260">
        <v>9</v>
      </c>
      <c r="D260" t="s">
        <v>125</v>
      </c>
      <c r="E260" t="s">
        <v>126</v>
      </c>
      <c r="F260" t="s">
        <v>127</v>
      </c>
      <c r="G260" t="s">
        <v>128</v>
      </c>
      <c r="H260">
        <v>99999</v>
      </c>
      <c r="I260" t="s">
        <v>30</v>
      </c>
      <c r="J260" t="s">
        <v>129</v>
      </c>
      <c r="K260" t="s">
        <v>32</v>
      </c>
      <c r="L260" s="2">
        <v>41923</v>
      </c>
      <c r="M260" t="s">
        <v>46</v>
      </c>
      <c r="N260" t="s">
        <v>130</v>
      </c>
      <c r="O260" t="s">
        <v>126</v>
      </c>
      <c r="P260" t="s">
        <v>127</v>
      </c>
      <c r="Q260" t="s">
        <v>128</v>
      </c>
      <c r="R260">
        <v>99999</v>
      </c>
      <c r="S260" t="s">
        <v>30</v>
      </c>
      <c r="T260" t="s">
        <v>35</v>
      </c>
      <c r="U260" t="s">
        <v>133</v>
      </c>
      <c r="V260" t="s">
        <v>134</v>
      </c>
      <c r="W260" s="3">
        <v>34.799999999999997</v>
      </c>
      <c r="X260">
        <v>70</v>
      </c>
      <c r="Y260" s="4">
        <v>2436</v>
      </c>
      <c r="Z260" s="3">
        <v>246.03600000000003</v>
      </c>
    </row>
    <row r="261" spans="1:26" x14ac:dyDescent="0.35">
      <c r="A261">
        <v>1299</v>
      </c>
      <c r="B261" s="2">
        <v>41918</v>
      </c>
      <c r="C261">
        <v>6</v>
      </c>
      <c r="D261" t="s">
        <v>82</v>
      </c>
      <c r="E261" t="s">
        <v>83</v>
      </c>
      <c r="F261" t="s">
        <v>84</v>
      </c>
      <c r="G261" t="s">
        <v>85</v>
      </c>
      <c r="H261">
        <v>99999</v>
      </c>
      <c r="I261" t="s">
        <v>30</v>
      </c>
      <c r="J261" t="s">
        <v>86</v>
      </c>
      <c r="K261" t="s">
        <v>61</v>
      </c>
      <c r="L261" s="2">
        <v>41920</v>
      </c>
      <c r="M261" t="s">
        <v>33</v>
      </c>
      <c r="N261" t="s">
        <v>87</v>
      </c>
      <c r="O261" t="s">
        <v>83</v>
      </c>
      <c r="P261" t="s">
        <v>84</v>
      </c>
      <c r="Q261" t="s">
        <v>85</v>
      </c>
      <c r="R261">
        <v>99999</v>
      </c>
      <c r="S261" t="s">
        <v>30</v>
      </c>
      <c r="T261" t="s">
        <v>48</v>
      </c>
      <c r="U261" t="s">
        <v>36</v>
      </c>
      <c r="V261" t="s">
        <v>37</v>
      </c>
      <c r="W261" s="3">
        <v>14</v>
      </c>
      <c r="X261">
        <v>98</v>
      </c>
      <c r="Y261" s="4">
        <v>1372</v>
      </c>
      <c r="Z261" s="3">
        <v>138.57200000000003</v>
      </c>
    </row>
    <row r="262" spans="1:26" x14ac:dyDescent="0.35">
      <c r="A262">
        <v>1300</v>
      </c>
      <c r="B262" s="2">
        <v>41920</v>
      </c>
      <c r="C262">
        <v>8</v>
      </c>
      <c r="D262" t="s">
        <v>56</v>
      </c>
      <c r="E262" t="s">
        <v>57</v>
      </c>
      <c r="F262" t="s">
        <v>58</v>
      </c>
      <c r="G262" t="s">
        <v>59</v>
      </c>
      <c r="H262">
        <v>99999</v>
      </c>
      <c r="I262" t="s">
        <v>30</v>
      </c>
      <c r="J262" t="s">
        <v>60</v>
      </c>
      <c r="K262" t="s">
        <v>61</v>
      </c>
      <c r="L262" s="2">
        <v>41922</v>
      </c>
      <c r="M262" t="s">
        <v>33</v>
      </c>
      <c r="N262" t="s">
        <v>63</v>
      </c>
      <c r="O262" t="s">
        <v>57</v>
      </c>
      <c r="P262" t="s">
        <v>58</v>
      </c>
      <c r="Q262" t="s">
        <v>59</v>
      </c>
      <c r="R262">
        <v>99999</v>
      </c>
      <c r="S262" t="s">
        <v>30</v>
      </c>
      <c r="T262" t="s">
        <v>35</v>
      </c>
      <c r="U262" t="s">
        <v>88</v>
      </c>
      <c r="V262" t="s">
        <v>89</v>
      </c>
      <c r="W262" s="3">
        <v>40</v>
      </c>
      <c r="X262">
        <v>48</v>
      </c>
      <c r="Y262" s="4">
        <v>1920</v>
      </c>
      <c r="Z262" s="3">
        <v>188.16</v>
      </c>
    </row>
    <row r="263" spans="1:26" x14ac:dyDescent="0.35">
      <c r="A263">
        <v>1301</v>
      </c>
      <c r="B263" s="2">
        <v>41920</v>
      </c>
      <c r="C263">
        <v>8</v>
      </c>
      <c r="D263" t="s">
        <v>56</v>
      </c>
      <c r="E263" t="s">
        <v>57</v>
      </c>
      <c r="F263" t="s">
        <v>58</v>
      </c>
      <c r="G263" t="s">
        <v>59</v>
      </c>
      <c r="H263">
        <v>99999</v>
      </c>
      <c r="I263" t="s">
        <v>30</v>
      </c>
      <c r="J263" t="s">
        <v>60</v>
      </c>
      <c r="K263" t="s">
        <v>61</v>
      </c>
      <c r="L263" s="2">
        <v>41922</v>
      </c>
      <c r="M263" t="s">
        <v>33</v>
      </c>
      <c r="N263" t="s">
        <v>63</v>
      </c>
      <c r="O263" t="s">
        <v>57</v>
      </c>
      <c r="P263" t="s">
        <v>58</v>
      </c>
      <c r="Q263" t="s">
        <v>59</v>
      </c>
      <c r="R263">
        <v>99999</v>
      </c>
      <c r="S263" t="s">
        <v>30</v>
      </c>
      <c r="T263" t="s">
        <v>35</v>
      </c>
      <c r="U263" t="s">
        <v>64</v>
      </c>
      <c r="V263" t="s">
        <v>65</v>
      </c>
      <c r="W263" s="3">
        <v>9.1999999999999993</v>
      </c>
      <c r="X263">
        <v>100</v>
      </c>
      <c r="Y263" s="4">
        <v>919.99999999999989</v>
      </c>
      <c r="Z263" s="3">
        <v>91.08</v>
      </c>
    </row>
    <row r="264" spans="1:26" x14ac:dyDescent="0.35">
      <c r="A264">
        <v>1302</v>
      </c>
      <c r="B264" s="2">
        <v>41937</v>
      </c>
      <c r="C264">
        <v>25</v>
      </c>
      <c r="D264" t="s">
        <v>137</v>
      </c>
      <c r="E264" t="s">
        <v>138</v>
      </c>
      <c r="F264" t="s">
        <v>99</v>
      </c>
      <c r="G264" t="s">
        <v>100</v>
      </c>
      <c r="H264">
        <v>99999</v>
      </c>
      <c r="I264" t="s">
        <v>30</v>
      </c>
      <c r="J264" t="s">
        <v>101</v>
      </c>
      <c r="K264" t="s">
        <v>45</v>
      </c>
      <c r="L264" s="2">
        <v>41939</v>
      </c>
      <c r="M264" t="s">
        <v>46</v>
      </c>
      <c r="N264" t="s">
        <v>139</v>
      </c>
      <c r="O264" t="s">
        <v>138</v>
      </c>
      <c r="P264" t="s">
        <v>99</v>
      </c>
      <c r="Q264" t="s">
        <v>100</v>
      </c>
      <c r="R264">
        <v>99999</v>
      </c>
      <c r="S264" t="s">
        <v>30</v>
      </c>
      <c r="T264" t="s">
        <v>79</v>
      </c>
      <c r="U264" t="s">
        <v>146</v>
      </c>
      <c r="V264" t="s">
        <v>65</v>
      </c>
      <c r="W264" s="3">
        <v>10</v>
      </c>
      <c r="X264">
        <v>90</v>
      </c>
      <c r="Y264" s="4">
        <v>900</v>
      </c>
      <c r="Z264" s="3">
        <v>87.3</v>
      </c>
    </row>
    <row r="265" spans="1:26" x14ac:dyDescent="0.35">
      <c r="A265">
        <v>1303</v>
      </c>
      <c r="B265" s="2">
        <v>41938</v>
      </c>
      <c r="C265">
        <v>26</v>
      </c>
      <c r="D265" t="s">
        <v>140</v>
      </c>
      <c r="E265" t="s">
        <v>141</v>
      </c>
      <c r="F265" t="s">
        <v>115</v>
      </c>
      <c r="G265" t="s">
        <v>116</v>
      </c>
      <c r="H265">
        <v>99999</v>
      </c>
      <c r="I265" t="s">
        <v>30</v>
      </c>
      <c r="J265" t="s">
        <v>94</v>
      </c>
      <c r="K265" t="s">
        <v>95</v>
      </c>
      <c r="L265" s="2">
        <v>41940</v>
      </c>
      <c r="M265" t="s">
        <v>62</v>
      </c>
      <c r="N265" t="s">
        <v>142</v>
      </c>
      <c r="O265" t="s">
        <v>141</v>
      </c>
      <c r="P265" t="s">
        <v>115</v>
      </c>
      <c r="Q265" t="s">
        <v>116</v>
      </c>
      <c r="R265">
        <v>99999</v>
      </c>
      <c r="S265" t="s">
        <v>30</v>
      </c>
      <c r="T265" t="s">
        <v>48</v>
      </c>
      <c r="U265" t="s">
        <v>147</v>
      </c>
      <c r="V265" t="s">
        <v>148</v>
      </c>
      <c r="W265" s="3">
        <v>21.35</v>
      </c>
      <c r="X265">
        <v>49</v>
      </c>
      <c r="Y265" s="4">
        <v>1046.1500000000001</v>
      </c>
      <c r="Z265" s="3">
        <v>102.5227</v>
      </c>
    </row>
    <row r="266" spans="1:26" x14ac:dyDescent="0.35">
      <c r="A266">
        <v>1304</v>
      </c>
      <c r="B266" s="2">
        <v>41938</v>
      </c>
      <c r="C266">
        <v>26</v>
      </c>
      <c r="D266" t="s">
        <v>140</v>
      </c>
      <c r="E266" t="s">
        <v>141</v>
      </c>
      <c r="F266" t="s">
        <v>115</v>
      </c>
      <c r="G266" t="s">
        <v>116</v>
      </c>
      <c r="H266">
        <v>99999</v>
      </c>
      <c r="I266" t="s">
        <v>30</v>
      </c>
      <c r="J266" t="s">
        <v>94</v>
      </c>
      <c r="K266" t="s">
        <v>95</v>
      </c>
      <c r="L266" s="2">
        <v>41940</v>
      </c>
      <c r="M266" t="s">
        <v>62</v>
      </c>
      <c r="N266" t="s">
        <v>142</v>
      </c>
      <c r="O266" t="s">
        <v>141</v>
      </c>
      <c r="P266" t="s">
        <v>115</v>
      </c>
      <c r="Q266" t="s">
        <v>116</v>
      </c>
      <c r="R266">
        <v>99999</v>
      </c>
      <c r="S266" t="s">
        <v>30</v>
      </c>
      <c r="T266" t="s">
        <v>48</v>
      </c>
      <c r="U266" t="s">
        <v>80</v>
      </c>
      <c r="V266" t="s">
        <v>81</v>
      </c>
      <c r="W266" s="3">
        <v>9.65</v>
      </c>
      <c r="X266">
        <v>71</v>
      </c>
      <c r="Y266" s="4">
        <v>685.15</v>
      </c>
      <c r="Z266" s="3">
        <v>65.7744</v>
      </c>
    </row>
    <row r="267" spans="1:26" x14ac:dyDescent="0.35">
      <c r="A267">
        <v>1305</v>
      </c>
      <c r="B267" s="2">
        <v>41938</v>
      </c>
      <c r="C267">
        <v>26</v>
      </c>
      <c r="D267" t="s">
        <v>140</v>
      </c>
      <c r="E267" t="s">
        <v>141</v>
      </c>
      <c r="F267" t="s">
        <v>115</v>
      </c>
      <c r="G267" t="s">
        <v>116</v>
      </c>
      <c r="H267">
        <v>99999</v>
      </c>
      <c r="I267" t="s">
        <v>30</v>
      </c>
      <c r="J267" t="s">
        <v>94</v>
      </c>
      <c r="K267" t="s">
        <v>95</v>
      </c>
      <c r="L267" s="2">
        <v>41940</v>
      </c>
      <c r="M267" t="s">
        <v>62</v>
      </c>
      <c r="N267" t="s">
        <v>142</v>
      </c>
      <c r="O267" t="s">
        <v>141</v>
      </c>
      <c r="P267" t="s">
        <v>115</v>
      </c>
      <c r="Q267" t="s">
        <v>116</v>
      </c>
      <c r="R267">
        <v>99999</v>
      </c>
      <c r="S267" t="s">
        <v>30</v>
      </c>
      <c r="T267" t="s">
        <v>48</v>
      </c>
      <c r="U267" t="s">
        <v>123</v>
      </c>
      <c r="V267" t="s">
        <v>124</v>
      </c>
      <c r="W267" s="3">
        <v>18.399999999999999</v>
      </c>
      <c r="X267">
        <v>10</v>
      </c>
      <c r="Y267" s="4">
        <v>184</v>
      </c>
      <c r="Z267" s="3">
        <v>19.136000000000003</v>
      </c>
    </row>
    <row r="268" spans="1:26" x14ac:dyDescent="0.35">
      <c r="A268">
        <v>1306</v>
      </c>
      <c r="B268" s="2">
        <v>41941</v>
      </c>
      <c r="C268">
        <v>29</v>
      </c>
      <c r="D268" t="s">
        <v>66</v>
      </c>
      <c r="E268" t="s">
        <v>67</v>
      </c>
      <c r="F268" t="s">
        <v>68</v>
      </c>
      <c r="G268" t="s">
        <v>69</v>
      </c>
      <c r="H268">
        <v>99999</v>
      </c>
      <c r="I268" t="s">
        <v>30</v>
      </c>
      <c r="J268" t="s">
        <v>70</v>
      </c>
      <c r="K268" t="s">
        <v>32</v>
      </c>
      <c r="L268" s="2">
        <v>41943</v>
      </c>
      <c r="M268" t="s">
        <v>33</v>
      </c>
      <c r="N268" t="s">
        <v>71</v>
      </c>
      <c r="O268" t="s">
        <v>67</v>
      </c>
      <c r="P268" t="s">
        <v>68</v>
      </c>
      <c r="Q268" t="s">
        <v>69</v>
      </c>
      <c r="R268">
        <v>99999</v>
      </c>
      <c r="S268" t="s">
        <v>30</v>
      </c>
      <c r="T268" t="s">
        <v>35</v>
      </c>
      <c r="U268" t="s">
        <v>36</v>
      </c>
      <c r="V268" t="s">
        <v>37</v>
      </c>
      <c r="W268" s="3">
        <v>14</v>
      </c>
      <c r="X268">
        <v>78</v>
      </c>
      <c r="Y268" s="4">
        <v>1092</v>
      </c>
      <c r="Z268" s="3">
        <v>112.476</v>
      </c>
    </row>
    <row r="269" spans="1:26" x14ac:dyDescent="0.35">
      <c r="A269">
        <v>1307</v>
      </c>
      <c r="B269" s="2">
        <v>41918</v>
      </c>
      <c r="C269">
        <v>6</v>
      </c>
      <c r="D269" t="s">
        <v>82</v>
      </c>
      <c r="E269" t="s">
        <v>83</v>
      </c>
      <c r="F269" t="s">
        <v>84</v>
      </c>
      <c r="G269" t="s">
        <v>85</v>
      </c>
      <c r="H269">
        <v>99999</v>
      </c>
      <c r="I269" t="s">
        <v>30</v>
      </c>
      <c r="J269" t="s">
        <v>86</v>
      </c>
      <c r="K269" t="s">
        <v>61</v>
      </c>
      <c r="L269" s="2">
        <v>41920</v>
      </c>
      <c r="M269" t="s">
        <v>62</v>
      </c>
      <c r="N269" t="s">
        <v>87</v>
      </c>
      <c r="O269" t="s">
        <v>83</v>
      </c>
      <c r="P269" t="s">
        <v>84</v>
      </c>
      <c r="Q269" t="s">
        <v>85</v>
      </c>
      <c r="R269">
        <v>99999</v>
      </c>
      <c r="S269" t="s">
        <v>30</v>
      </c>
      <c r="T269" t="s">
        <v>35</v>
      </c>
      <c r="U269" t="s">
        <v>72</v>
      </c>
      <c r="V269" t="s">
        <v>73</v>
      </c>
      <c r="W269" s="3">
        <v>12.75</v>
      </c>
      <c r="X269">
        <v>44</v>
      </c>
      <c r="Y269" s="4">
        <v>561</v>
      </c>
      <c r="Z269" s="3">
        <v>53.856000000000002</v>
      </c>
    </row>
    <row r="270" spans="1:26" x14ac:dyDescent="0.35">
      <c r="A270">
        <v>1309</v>
      </c>
      <c r="B270" s="2">
        <v>41916</v>
      </c>
      <c r="C270">
        <v>4</v>
      </c>
      <c r="D270" t="s">
        <v>40</v>
      </c>
      <c r="E270" t="s">
        <v>41</v>
      </c>
      <c r="F270" t="s">
        <v>42</v>
      </c>
      <c r="G270" t="s">
        <v>43</v>
      </c>
      <c r="H270">
        <v>99999</v>
      </c>
      <c r="I270" t="s">
        <v>30</v>
      </c>
      <c r="J270" t="s">
        <v>44</v>
      </c>
      <c r="K270" t="s">
        <v>45</v>
      </c>
      <c r="L270" s="2">
        <v>41918</v>
      </c>
      <c r="M270" t="s">
        <v>46</v>
      </c>
      <c r="N270" t="s">
        <v>47</v>
      </c>
      <c r="O270" t="s">
        <v>41</v>
      </c>
      <c r="P270" t="s">
        <v>42</v>
      </c>
      <c r="Q270" t="s">
        <v>43</v>
      </c>
      <c r="R270">
        <v>99999</v>
      </c>
      <c r="S270" t="s">
        <v>30</v>
      </c>
      <c r="T270" t="s">
        <v>48</v>
      </c>
      <c r="U270" t="s">
        <v>149</v>
      </c>
      <c r="V270" t="s">
        <v>110</v>
      </c>
      <c r="W270">
        <v>81</v>
      </c>
      <c r="X270">
        <v>82</v>
      </c>
      <c r="Y270" s="4">
        <v>6642</v>
      </c>
      <c r="Z270" s="3">
        <v>697.41000000000008</v>
      </c>
    </row>
    <row r="271" spans="1:26" x14ac:dyDescent="0.35">
      <c r="A271">
        <v>1310</v>
      </c>
      <c r="B271" s="2">
        <v>41916</v>
      </c>
      <c r="C271">
        <v>4</v>
      </c>
      <c r="D271" t="s">
        <v>40</v>
      </c>
      <c r="E271" t="s">
        <v>41</v>
      </c>
      <c r="F271" t="s">
        <v>42</v>
      </c>
      <c r="G271" t="s">
        <v>43</v>
      </c>
      <c r="H271">
        <v>99999</v>
      </c>
      <c r="I271" t="s">
        <v>30</v>
      </c>
      <c r="J271" t="s">
        <v>44</v>
      </c>
      <c r="K271" t="s">
        <v>45</v>
      </c>
      <c r="L271" s="2">
        <v>41918</v>
      </c>
      <c r="M271" t="s">
        <v>46</v>
      </c>
      <c r="N271" t="s">
        <v>47</v>
      </c>
      <c r="O271" t="s">
        <v>41</v>
      </c>
      <c r="P271" t="s">
        <v>42</v>
      </c>
      <c r="Q271" t="s">
        <v>43</v>
      </c>
      <c r="R271">
        <v>99999</v>
      </c>
      <c r="S271" t="s">
        <v>30</v>
      </c>
      <c r="T271" t="s">
        <v>48</v>
      </c>
      <c r="U271" t="s">
        <v>150</v>
      </c>
      <c r="V271" t="s">
        <v>151</v>
      </c>
      <c r="W271">
        <v>7</v>
      </c>
      <c r="X271">
        <v>29</v>
      </c>
      <c r="Y271" s="4">
        <v>203</v>
      </c>
      <c r="Z271" s="3">
        <v>20.3</v>
      </c>
    </row>
    <row r="272" spans="1:26" x14ac:dyDescent="0.35">
      <c r="A272">
        <v>1312</v>
      </c>
      <c r="B272" s="2">
        <v>41920</v>
      </c>
      <c r="C272">
        <v>8</v>
      </c>
      <c r="D272" t="s">
        <v>56</v>
      </c>
      <c r="E272" t="s">
        <v>57</v>
      </c>
      <c r="F272" t="s">
        <v>58</v>
      </c>
      <c r="G272" t="s">
        <v>59</v>
      </c>
      <c r="H272">
        <v>99999</v>
      </c>
      <c r="I272" t="s">
        <v>30</v>
      </c>
      <c r="J272" t="s">
        <v>60</v>
      </c>
      <c r="K272" t="s">
        <v>61</v>
      </c>
      <c r="L272" s="2">
        <v>41922</v>
      </c>
      <c r="M272" t="s">
        <v>62</v>
      </c>
      <c r="N272" t="s">
        <v>63</v>
      </c>
      <c r="O272" t="s">
        <v>57</v>
      </c>
      <c r="P272" t="s">
        <v>58</v>
      </c>
      <c r="Q272" t="s">
        <v>59</v>
      </c>
      <c r="R272">
        <v>99999</v>
      </c>
      <c r="S272" t="s">
        <v>30</v>
      </c>
      <c r="T272" t="s">
        <v>48</v>
      </c>
      <c r="U272" t="s">
        <v>133</v>
      </c>
      <c r="V272" t="s">
        <v>134</v>
      </c>
      <c r="W272">
        <v>34.799999999999997</v>
      </c>
      <c r="X272">
        <v>93</v>
      </c>
      <c r="Y272" s="4">
        <v>3236.3999999999996</v>
      </c>
      <c r="Z272" s="3">
        <v>313.93079999999998</v>
      </c>
    </row>
    <row r="273" spans="1:26" x14ac:dyDescent="0.35">
      <c r="A273">
        <v>1315</v>
      </c>
      <c r="B273" s="2">
        <v>41915</v>
      </c>
      <c r="C273">
        <v>3</v>
      </c>
      <c r="D273" t="s">
        <v>74</v>
      </c>
      <c r="E273" t="s">
        <v>75</v>
      </c>
      <c r="F273" t="s">
        <v>76</v>
      </c>
      <c r="G273" t="s">
        <v>77</v>
      </c>
      <c r="H273">
        <v>99999</v>
      </c>
      <c r="I273" t="s">
        <v>30</v>
      </c>
      <c r="J273" t="s">
        <v>31</v>
      </c>
      <c r="K273" t="s">
        <v>32</v>
      </c>
      <c r="L273" s="2">
        <v>41917</v>
      </c>
      <c r="M273" t="s">
        <v>33</v>
      </c>
      <c r="N273" t="s">
        <v>78</v>
      </c>
      <c r="O273" t="s">
        <v>75</v>
      </c>
      <c r="P273" t="s">
        <v>76</v>
      </c>
      <c r="Q273" t="s">
        <v>77</v>
      </c>
      <c r="R273">
        <v>99999</v>
      </c>
      <c r="S273" t="s">
        <v>30</v>
      </c>
      <c r="T273" t="s">
        <v>79</v>
      </c>
      <c r="U273" t="s">
        <v>135</v>
      </c>
      <c r="V273" t="s">
        <v>112</v>
      </c>
      <c r="W273">
        <v>10</v>
      </c>
      <c r="X273">
        <v>11</v>
      </c>
      <c r="Y273" s="4">
        <v>110</v>
      </c>
      <c r="Z273" s="3">
        <v>11.440000000000001</v>
      </c>
    </row>
    <row r="274" spans="1:26" x14ac:dyDescent="0.35">
      <c r="A274">
        <v>1316</v>
      </c>
      <c r="B274" s="2">
        <v>41915</v>
      </c>
      <c r="C274">
        <v>3</v>
      </c>
      <c r="D274" t="s">
        <v>74</v>
      </c>
      <c r="E274" t="s">
        <v>75</v>
      </c>
      <c r="F274" t="s">
        <v>76</v>
      </c>
      <c r="G274" t="s">
        <v>77</v>
      </c>
      <c r="H274">
        <v>99999</v>
      </c>
      <c r="I274" t="s">
        <v>30</v>
      </c>
      <c r="J274" t="s">
        <v>31</v>
      </c>
      <c r="K274" t="s">
        <v>32</v>
      </c>
      <c r="L274" s="2">
        <v>41917</v>
      </c>
      <c r="M274" t="s">
        <v>33</v>
      </c>
      <c r="N274" t="s">
        <v>78</v>
      </c>
      <c r="O274" t="s">
        <v>75</v>
      </c>
      <c r="P274" t="s">
        <v>76</v>
      </c>
      <c r="Q274" t="s">
        <v>77</v>
      </c>
      <c r="R274">
        <v>99999</v>
      </c>
      <c r="S274" t="s">
        <v>30</v>
      </c>
      <c r="T274" t="s">
        <v>79</v>
      </c>
      <c r="U274" t="s">
        <v>88</v>
      </c>
      <c r="V274" t="s">
        <v>89</v>
      </c>
      <c r="W274">
        <v>40</v>
      </c>
      <c r="X274">
        <v>91</v>
      </c>
      <c r="Y274" s="4">
        <v>3640</v>
      </c>
      <c r="Z274" s="3">
        <v>364</v>
      </c>
    </row>
    <row r="275" spans="1:26" x14ac:dyDescent="0.35">
      <c r="A275">
        <v>1320</v>
      </c>
      <c r="B275" s="2">
        <v>41922</v>
      </c>
      <c r="C275">
        <v>10</v>
      </c>
      <c r="D275" t="s">
        <v>97</v>
      </c>
      <c r="E275" t="s">
        <v>98</v>
      </c>
      <c r="F275" t="s">
        <v>99</v>
      </c>
      <c r="G275" t="s">
        <v>100</v>
      </c>
      <c r="H275">
        <v>99999</v>
      </c>
      <c r="I275" t="s">
        <v>30</v>
      </c>
      <c r="J275" t="s">
        <v>101</v>
      </c>
      <c r="K275" t="s">
        <v>45</v>
      </c>
      <c r="L275" s="2">
        <v>41924</v>
      </c>
      <c r="M275" t="s">
        <v>33</v>
      </c>
      <c r="N275" t="s">
        <v>102</v>
      </c>
      <c r="O275" t="s">
        <v>98</v>
      </c>
      <c r="P275" t="s">
        <v>99</v>
      </c>
      <c r="Q275" t="s">
        <v>100</v>
      </c>
      <c r="R275">
        <v>99999</v>
      </c>
      <c r="S275" t="s">
        <v>30</v>
      </c>
      <c r="T275" t="s">
        <v>48</v>
      </c>
      <c r="U275" t="s">
        <v>136</v>
      </c>
      <c r="V275" t="s">
        <v>39</v>
      </c>
      <c r="W275">
        <v>10</v>
      </c>
      <c r="X275">
        <v>12</v>
      </c>
      <c r="Y275" s="4">
        <v>120</v>
      </c>
      <c r="Z275" s="3">
        <v>12.36</v>
      </c>
    </row>
    <row r="276" spans="1:26" x14ac:dyDescent="0.35">
      <c r="A276">
        <v>1322</v>
      </c>
      <c r="B276" s="2">
        <v>41922</v>
      </c>
      <c r="C276">
        <v>10</v>
      </c>
      <c r="D276" t="s">
        <v>97</v>
      </c>
      <c r="E276" t="s">
        <v>98</v>
      </c>
      <c r="F276" t="s">
        <v>99</v>
      </c>
      <c r="G276" t="s">
        <v>100</v>
      </c>
      <c r="H276">
        <v>99999</v>
      </c>
      <c r="I276" t="s">
        <v>30</v>
      </c>
      <c r="J276" t="s">
        <v>101</v>
      </c>
      <c r="K276" t="s">
        <v>45</v>
      </c>
      <c r="L276" s="2"/>
      <c r="M276" t="s">
        <v>46</v>
      </c>
      <c r="N276" t="s">
        <v>102</v>
      </c>
      <c r="O276" t="s">
        <v>98</v>
      </c>
      <c r="P276" t="s">
        <v>99</v>
      </c>
      <c r="Q276" t="s">
        <v>100</v>
      </c>
      <c r="R276">
        <v>99999</v>
      </c>
      <c r="S276" t="s">
        <v>30</v>
      </c>
      <c r="U276" t="s">
        <v>38</v>
      </c>
      <c r="V276" t="s">
        <v>39</v>
      </c>
      <c r="W276">
        <v>3.5</v>
      </c>
      <c r="X276">
        <v>78</v>
      </c>
      <c r="Y276" s="4">
        <v>273</v>
      </c>
      <c r="Z276" s="3">
        <v>27.3</v>
      </c>
    </row>
    <row r="277" spans="1:26" x14ac:dyDescent="0.35">
      <c r="A277">
        <v>1323</v>
      </c>
      <c r="B277" s="2">
        <v>41923</v>
      </c>
      <c r="C277">
        <v>11</v>
      </c>
      <c r="D277" t="s">
        <v>113</v>
      </c>
      <c r="E277" t="s">
        <v>114</v>
      </c>
      <c r="F277" t="s">
        <v>115</v>
      </c>
      <c r="G277" t="s">
        <v>116</v>
      </c>
      <c r="H277">
        <v>99999</v>
      </c>
      <c r="I277" t="s">
        <v>30</v>
      </c>
      <c r="J277" t="s">
        <v>94</v>
      </c>
      <c r="K277" t="s">
        <v>95</v>
      </c>
      <c r="L277" s="2"/>
      <c r="M277" t="s">
        <v>62</v>
      </c>
      <c r="N277" t="s">
        <v>117</v>
      </c>
      <c r="O277" t="s">
        <v>114</v>
      </c>
      <c r="P277" t="s">
        <v>115</v>
      </c>
      <c r="Q277" t="s">
        <v>116</v>
      </c>
      <c r="R277">
        <v>99999</v>
      </c>
      <c r="S277" t="s">
        <v>30</v>
      </c>
      <c r="U277" t="s">
        <v>88</v>
      </c>
      <c r="V277" t="s">
        <v>89</v>
      </c>
      <c r="W277">
        <v>40</v>
      </c>
      <c r="X277">
        <v>60</v>
      </c>
      <c r="Y277" s="4">
        <v>2400</v>
      </c>
      <c r="Z277" s="3">
        <v>228</v>
      </c>
    </row>
    <row r="278" spans="1:26" x14ac:dyDescent="0.35">
      <c r="A278">
        <v>1324</v>
      </c>
      <c r="B278" s="2">
        <v>41913</v>
      </c>
      <c r="C278">
        <v>1</v>
      </c>
      <c r="D278" t="s">
        <v>118</v>
      </c>
      <c r="E278" t="s">
        <v>119</v>
      </c>
      <c r="F278" t="s">
        <v>120</v>
      </c>
      <c r="G278" t="s">
        <v>121</v>
      </c>
      <c r="H278">
        <v>99999</v>
      </c>
      <c r="I278" t="s">
        <v>30</v>
      </c>
      <c r="J278" t="s">
        <v>60</v>
      </c>
      <c r="K278" t="s">
        <v>61</v>
      </c>
      <c r="L278" s="2"/>
      <c r="M278" t="s">
        <v>62</v>
      </c>
      <c r="N278" t="s">
        <v>122</v>
      </c>
      <c r="O278" t="s">
        <v>119</v>
      </c>
      <c r="P278" t="s">
        <v>120</v>
      </c>
      <c r="Q278" t="s">
        <v>121</v>
      </c>
      <c r="R278">
        <v>99999</v>
      </c>
      <c r="S278" t="s">
        <v>30</v>
      </c>
      <c r="U278" t="s">
        <v>123</v>
      </c>
      <c r="V278" t="s">
        <v>124</v>
      </c>
      <c r="W278">
        <v>18.399999999999999</v>
      </c>
      <c r="X278">
        <v>23</v>
      </c>
      <c r="Y278" s="4">
        <v>423.2</v>
      </c>
      <c r="Z278" s="3">
        <v>43.589600000000004</v>
      </c>
    </row>
    <row r="279" spans="1:26" x14ac:dyDescent="0.35">
      <c r="A279">
        <v>1325</v>
      </c>
      <c r="B279" s="2">
        <v>41940</v>
      </c>
      <c r="C279">
        <v>28</v>
      </c>
      <c r="D279" t="s">
        <v>90</v>
      </c>
      <c r="E279" t="s">
        <v>91</v>
      </c>
      <c r="F279" t="s">
        <v>92</v>
      </c>
      <c r="G279" t="s">
        <v>93</v>
      </c>
      <c r="H279">
        <v>99999</v>
      </c>
      <c r="I279" t="s">
        <v>30</v>
      </c>
      <c r="J279" t="s">
        <v>94</v>
      </c>
      <c r="K279" t="s">
        <v>95</v>
      </c>
      <c r="L279" s="2">
        <v>41942</v>
      </c>
      <c r="M279" t="s">
        <v>62</v>
      </c>
      <c r="N279" t="s">
        <v>96</v>
      </c>
      <c r="O279" t="s">
        <v>91</v>
      </c>
      <c r="P279" t="s">
        <v>92</v>
      </c>
      <c r="Q279" t="s">
        <v>93</v>
      </c>
      <c r="R279">
        <v>99999</v>
      </c>
      <c r="S279" t="s">
        <v>30</v>
      </c>
      <c r="T279" t="s">
        <v>48</v>
      </c>
      <c r="U279" t="s">
        <v>55</v>
      </c>
      <c r="V279" t="s">
        <v>37</v>
      </c>
      <c r="W279">
        <v>46</v>
      </c>
      <c r="X279">
        <v>34</v>
      </c>
      <c r="Y279" s="4">
        <v>1564</v>
      </c>
      <c r="Z279" s="3">
        <v>157.964</v>
      </c>
    </row>
    <row r="280" spans="1:26" x14ac:dyDescent="0.35">
      <c r="A280">
        <v>1326</v>
      </c>
      <c r="B280" s="2">
        <v>41921</v>
      </c>
      <c r="C280">
        <v>9</v>
      </c>
      <c r="D280" t="s">
        <v>125</v>
      </c>
      <c r="E280" t="s">
        <v>126</v>
      </c>
      <c r="F280" t="s">
        <v>127</v>
      </c>
      <c r="G280" t="s">
        <v>128</v>
      </c>
      <c r="H280">
        <v>99999</v>
      </c>
      <c r="I280" t="s">
        <v>30</v>
      </c>
      <c r="J280" t="s">
        <v>129</v>
      </c>
      <c r="K280" t="s">
        <v>32</v>
      </c>
      <c r="L280" s="2">
        <v>41923</v>
      </c>
      <c r="M280" t="s">
        <v>46</v>
      </c>
      <c r="N280" t="s">
        <v>130</v>
      </c>
      <c r="O280" t="s">
        <v>126</v>
      </c>
      <c r="P280" t="s">
        <v>127</v>
      </c>
      <c r="Q280" t="s">
        <v>128</v>
      </c>
      <c r="R280">
        <v>99999</v>
      </c>
      <c r="S280" t="s">
        <v>30</v>
      </c>
      <c r="T280" t="s">
        <v>35</v>
      </c>
      <c r="U280" t="s">
        <v>80</v>
      </c>
      <c r="V280" t="s">
        <v>81</v>
      </c>
      <c r="W280">
        <v>9.65</v>
      </c>
      <c r="X280">
        <v>89</v>
      </c>
      <c r="Y280" s="4">
        <v>858.85</v>
      </c>
      <c r="Z280" s="3">
        <v>86.743850000000009</v>
      </c>
    </row>
    <row r="281" spans="1:26" x14ac:dyDescent="0.35">
      <c r="A281">
        <v>1327</v>
      </c>
      <c r="B281" s="2">
        <v>41918</v>
      </c>
      <c r="C281">
        <v>6</v>
      </c>
      <c r="D281" t="s">
        <v>82</v>
      </c>
      <c r="E281" t="s">
        <v>83</v>
      </c>
      <c r="F281" t="s">
        <v>84</v>
      </c>
      <c r="G281" t="s">
        <v>85</v>
      </c>
      <c r="H281">
        <v>99999</v>
      </c>
      <c r="I281" t="s">
        <v>30</v>
      </c>
      <c r="J281" t="s">
        <v>86</v>
      </c>
      <c r="K281" t="s">
        <v>61</v>
      </c>
      <c r="L281" s="2">
        <v>41920</v>
      </c>
      <c r="M281" t="s">
        <v>33</v>
      </c>
      <c r="N281" t="s">
        <v>87</v>
      </c>
      <c r="O281" t="s">
        <v>83</v>
      </c>
      <c r="P281" t="s">
        <v>84</v>
      </c>
      <c r="Q281" t="s">
        <v>85</v>
      </c>
      <c r="R281">
        <v>99999</v>
      </c>
      <c r="S281" t="s">
        <v>30</v>
      </c>
      <c r="T281" t="s">
        <v>48</v>
      </c>
      <c r="U281" t="s">
        <v>72</v>
      </c>
      <c r="V281" t="s">
        <v>73</v>
      </c>
      <c r="W281">
        <v>12.75</v>
      </c>
      <c r="X281">
        <v>82</v>
      </c>
      <c r="Y281" s="4">
        <v>1045.5</v>
      </c>
      <c r="Z281" s="3">
        <v>103.50450000000001</v>
      </c>
    </row>
    <row r="282" spans="1:26" x14ac:dyDescent="0.35">
      <c r="A282">
        <v>1328</v>
      </c>
      <c r="B282" s="2">
        <v>41920</v>
      </c>
      <c r="C282">
        <v>8</v>
      </c>
      <c r="D282" t="s">
        <v>56</v>
      </c>
      <c r="E282" t="s">
        <v>57</v>
      </c>
      <c r="F282" t="s">
        <v>58</v>
      </c>
      <c r="G282" t="s">
        <v>59</v>
      </c>
      <c r="H282">
        <v>99999</v>
      </c>
      <c r="I282" t="s">
        <v>30</v>
      </c>
      <c r="J282" t="s">
        <v>60</v>
      </c>
      <c r="K282" t="s">
        <v>61</v>
      </c>
      <c r="L282" s="2">
        <v>41922</v>
      </c>
      <c r="M282" t="s">
        <v>33</v>
      </c>
      <c r="N282" t="s">
        <v>63</v>
      </c>
      <c r="O282" t="s">
        <v>57</v>
      </c>
      <c r="P282" t="s">
        <v>58</v>
      </c>
      <c r="Q282" t="s">
        <v>59</v>
      </c>
      <c r="R282">
        <v>99999</v>
      </c>
      <c r="S282" t="s">
        <v>30</v>
      </c>
      <c r="T282" t="s">
        <v>35</v>
      </c>
      <c r="U282" t="s">
        <v>72</v>
      </c>
      <c r="V282" t="s">
        <v>73</v>
      </c>
      <c r="W282">
        <v>12.75</v>
      </c>
      <c r="X282">
        <v>43</v>
      </c>
      <c r="Y282" s="4">
        <v>548.25</v>
      </c>
      <c r="Z282" s="3">
        <v>52.631999999999998</v>
      </c>
    </row>
    <row r="283" spans="1:26" x14ac:dyDescent="0.35">
      <c r="A283">
        <v>1329</v>
      </c>
      <c r="B283" s="2">
        <v>41953</v>
      </c>
      <c r="C283">
        <v>10</v>
      </c>
      <c r="D283" t="s">
        <v>97</v>
      </c>
      <c r="E283" t="s">
        <v>98</v>
      </c>
      <c r="F283" t="s">
        <v>99</v>
      </c>
      <c r="G283" t="s">
        <v>100</v>
      </c>
      <c r="H283">
        <v>99999</v>
      </c>
      <c r="I283" t="s">
        <v>30</v>
      </c>
      <c r="J283" t="s">
        <v>101</v>
      </c>
      <c r="K283" t="s">
        <v>45</v>
      </c>
      <c r="L283" s="2">
        <v>41955</v>
      </c>
      <c r="M283" t="s">
        <v>46</v>
      </c>
      <c r="N283" t="s">
        <v>102</v>
      </c>
      <c r="O283" t="s">
        <v>98</v>
      </c>
      <c r="P283" t="s">
        <v>99</v>
      </c>
      <c r="Q283" t="s">
        <v>100</v>
      </c>
      <c r="R283">
        <v>99999</v>
      </c>
      <c r="S283" t="s">
        <v>30</v>
      </c>
      <c r="U283" t="s">
        <v>111</v>
      </c>
      <c r="V283" t="s">
        <v>112</v>
      </c>
      <c r="W283" s="3">
        <v>22</v>
      </c>
      <c r="X283">
        <v>96</v>
      </c>
      <c r="Y283" s="4">
        <v>2112</v>
      </c>
      <c r="Z283" s="3">
        <v>221.76000000000002</v>
      </c>
    </row>
    <row r="284" spans="1:26" x14ac:dyDescent="0.35">
      <c r="A284">
        <v>1330</v>
      </c>
      <c r="B284" s="2">
        <v>41953</v>
      </c>
      <c r="C284">
        <v>10</v>
      </c>
      <c r="D284" t="s">
        <v>97</v>
      </c>
      <c r="E284" t="s">
        <v>98</v>
      </c>
      <c r="F284" t="s">
        <v>99</v>
      </c>
      <c r="G284" t="s">
        <v>100</v>
      </c>
      <c r="H284">
        <v>99999</v>
      </c>
      <c r="I284" t="s">
        <v>30</v>
      </c>
      <c r="J284" t="s">
        <v>101</v>
      </c>
      <c r="K284" t="s">
        <v>45</v>
      </c>
      <c r="L284" s="2">
        <v>41955</v>
      </c>
      <c r="M284" t="s">
        <v>46</v>
      </c>
      <c r="N284" t="s">
        <v>102</v>
      </c>
      <c r="O284" t="s">
        <v>98</v>
      </c>
      <c r="P284" t="s">
        <v>99</v>
      </c>
      <c r="Q284" t="s">
        <v>100</v>
      </c>
      <c r="R284">
        <v>99999</v>
      </c>
      <c r="S284" t="s">
        <v>30</v>
      </c>
      <c r="U284" t="s">
        <v>64</v>
      </c>
      <c r="V284" t="s">
        <v>65</v>
      </c>
      <c r="W284" s="3">
        <v>9.1999999999999993</v>
      </c>
      <c r="X284">
        <v>34</v>
      </c>
      <c r="Y284" s="4">
        <v>312.79999999999995</v>
      </c>
      <c r="Z284" s="3">
        <v>31.279999999999998</v>
      </c>
    </row>
    <row r="285" spans="1:26" x14ac:dyDescent="0.35">
      <c r="A285">
        <v>1331</v>
      </c>
      <c r="B285" s="2">
        <v>41954</v>
      </c>
      <c r="C285">
        <v>11</v>
      </c>
      <c r="D285" t="s">
        <v>113</v>
      </c>
      <c r="E285" t="s">
        <v>114</v>
      </c>
      <c r="F285" t="s">
        <v>115</v>
      </c>
      <c r="G285" t="s">
        <v>116</v>
      </c>
      <c r="H285">
        <v>99999</v>
      </c>
      <c r="I285" t="s">
        <v>30</v>
      </c>
      <c r="J285" t="s">
        <v>94</v>
      </c>
      <c r="K285" t="s">
        <v>95</v>
      </c>
      <c r="L285" s="2"/>
      <c r="M285" t="s">
        <v>62</v>
      </c>
      <c r="N285" t="s">
        <v>117</v>
      </c>
      <c r="O285" t="s">
        <v>114</v>
      </c>
      <c r="P285" t="s">
        <v>115</v>
      </c>
      <c r="Q285" t="s">
        <v>116</v>
      </c>
      <c r="R285">
        <v>99999</v>
      </c>
      <c r="S285" t="s">
        <v>30</v>
      </c>
      <c r="U285" t="s">
        <v>38</v>
      </c>
      <c r="V285" t="s">
        <v>39</v>
      </c>
      <c r="W285" s="3">
        <v>3.5</v>
      </c>
      <c r="X285">
        <v>42</v>
      </c>
      <c r="Y285" s="4">
        <v>147</v>
      </c>
      <c r="Z285" s="3">
        <v>15.141000000000002</v>
      </c>
    </row>
    <row r="286" spans="1:26" x14ac:dyDescent="0.35">
      <c r="A286">
        <v>1332</v>
      </c>
      <c r="B286" s="2">
        <v>41954</v>
      </c>
      <c r="C286">
        <v>11</v>
      </c>
      <c r="D286" t="s">
        <v>113</v>
      </c>
      <c r="E286" t="s">
        <v>114</v>
      </c>
      <c r="F286" t="s">
        <v>115</v>
      </c>
      <c r="G286" t="s">
        <v>116</v>
      </c>
      <c r="H286">
        <v>99999</v>
      </c>
      <c r="I286" t="s">
        <v>30</v>
      </c>
      <c r="J286" t="s">
        <v>94</v>
      </c>
      <c r="K286" t="s">
        <v>95</v>
      </c>
      <c r="L286" s="2"/>
      <c r="M286" t="s">
        <v>62</v>
      </c>
      <c r="N286" t="s">
        <v>117</v>
      </c>
      <c r="O286" t="s">
        <v>114</v>
      </c>
      <c r="P286" t="s">
        <v>115</v>
      </c>
      <c r="Q286" t="s">
        <v>116</v>
      </c>
      <c r="R286">
        <v>99999</v>
      </c>
      <c r="S286" t="s">
        <v>30</v>
      </c>
      <c r="U286" t="s">
        <v>103</v>
      </c>
      <c r="V286" t="s">
        <v>37</v>
      </c>
      <c r="W286" s="3">
        <v>2.99</v>
      </c>
      <c r="X286">
        <v>100</v>
      </c>
      <c r="Y286" s="4">
        <v>299</v>
      </c>
      <c r="Z286" s="3">
        <v>30.498000000000001</v>
      </c>
    </row>
    <row r="287" spans="1:26" x14ac:dyDescent="0.35">
      <c r="A287">
        <v>1333</v>
      </c>
      <c r="B287" s="2">
        <v>41944</v>
      </c>
      <c r="C287">
        <v>1</v>
      </c>
      <c r="D287" t="s">
        <v>118</v>
      </c>
      <c r="E287" t="s">
        <v>119</v>
      </c>
      <c r="F287" t="s">
        <v>120</v>
      </c>
      <c r="G287" t="s">
        <v>121</v>
      </c>
      <c r="H287">
        <v>99999</v>
      </c>
      <c r="I287" t="s">
        <v>30</v>
      </c>
      <c r="J287" t="s">
        <v>60</v>
      </c>
      <c r="K287" t="s">
        <v>61</v>
      </c>
      <c r="N287" t="s">
        <v>122</v>
      </c>
      <c r="O287" t="s">
        <v>119</v>
      </c>
      <c r="P287" t="s">
        <v>120</v>
      </c>
      <c r="Q287" t="s">
        <v>121</v>
      </c>
      <c r="R287">
        <v>99999</v>
      </c>
      <c r="S287" t="s">
        <v>30</v>
      </c>
      <c r="U287" t="s">
        <v>54</v>
      </c>
      <c r="V287" t="s">
        <v>37</v>
      </c>
      <c r="W287" s="3">
        <v>18</v>
      </c>
      <c r="X287">
        <v>42</v>
      </c>
      <c r="Y287" s="4">
        <v>756</v>
      </c>
      <c r="Z287" s="3">
        <v>76.356000000000009</v>
      </c>
    </row>
    <row r="288" spans="1:26" x14ac:dyDescent="0.35">
      <c r="A288">
        <v>1334</v>
      </c>
      <c r="B288" s="2">
        <v>41944</v>
      </c>
      <c r="C288">
        <v>1</v>
      </c>
      <c r="D288" t="s">
        <v>118</v>
      </c>
      <c r="E288" t="s">
        <v>119</v>
      </c>
      <c r="F288" t="s">
        <v>120</v>
      </c>
      <c r="G288" t="s">
        <v>121</v>
      </c>
      <c r="H288">
        <v>99999</v>
      </c>
      <c r="I288" t="s">
        <v>30</v>
      </c>
      <c r="J288" t="s">
        <v>60</v>
      </c>
      <c r="K288" t="s">
        <v>61</v>
      </c>
      <c r="L288" s="2"/>
      <c r="N288" t="s">
        <v>122</v>
      </c>
      <c r="O288" t="s">
        <v>119</v>
      </c>
      <c r="P288" t="s">
        <v>120</v>
      </c>
      <c r="Q288" t="s">
        <v>121</v>
      </c>
      <c r="R288">
        <v>99999</v>
      </c>
      <c r="S288" t="s">
        <v>30</v>
      </c>
      <c r="U288" t="s">
        <v>55</v>
      </c>
      <c r="V288" t="s">
        <v>37</v>
      </c>
      <c r="W288" s="3">
        <v>46</v>
      </c>
      <c r="X288">
        <v>16</v>
      </c>
      <c r="Y288" s="4">
        <v>736</v>
      </c>
      <c r="Z288" s="3">
        <v>70.656000000000006</v>
      </c>
    </row>
    <row r="289" spans="1:26" x14ac:dyDescent="0.35">
      <c r="A289">
        <v>1335</v>
      </c>
      <c r="B289" s="2">
        <v>41944</v>
      </c>
      <c r="C289">
        <v>1</v>
      </c>
      <c r="D289" t="s">
        <v>118</v>
      </c>
      <c r="E289" t="s">
        <v>119</v>
      </c>
      <c r="F289" t="s">
        <v>120</v>
      </c>
      <c r="G289" t="s">
        <v>121</v>
      </c>
      <c r="H289">
        <v>99999</v>
      </c>
      <c r="I289" t="s">
        <v>30</v>
      </c>
      <c r="J289" t="s">
        <v>60</v>
      </c>
      <c r="K289" t="s">
        <v>61</v>
      </c>
      <c r="L289" s="2"/>
      <c r="N289" t="s">
        <v>122</v>
      </c>
      <c r="O289" t="s">
        <v>119</v>
      </c>
      <c r="P289" t="s">
        <v>120</v>
      </c>
      <c r="Q289" t="s">
        <v>121</v>
      </c>
      <c r="R289">
        <v>99999</v>
      </c>
      <c r="S289" t="s">
        <v>30</v>
      </c>
      <c r="U289" t="s">
        <v>103</v>
      </c>
      <c r="V289" t="s">
        <v>37</v>
      </c>
      <c r="W289" s="3">
        <v>2.99</v>
      </c>
      <c r="X289">
        <v>22</v>
      </c>
      <c r="Y289" s="4">
        <v>65.78</v>
      </c>
      <c r="Z289" s="3">
        <v>6.3806599999999998</v>
      </c>
    </row>
    <row r="290" spans="1:26" x14ac:dyDescent="0.35">
      <c r="A290">
        <v>1336</v>
      </c>
      <c r="B290" s="2">
        <v>41971</v>
      </c>
      <c r="C290">
        <v>28</v>
      </c>
      <c r="D290" t="s">
        <v>90</v>
      </c>
      <c r="E290" t="s">
        <v>91</v>
      </c>
      <c r="F290" t="s">
        <v>92</v>
      </c>
      <c r="G290" t="s">
        <v>93</v>
      </c>
      <c r="H290">
        <v>99999</v>
      </c>
      <c r="I290" t="s">
        <v>30</v>
      </c>
      <c r="J290" t="s">
        <v>94</v>
      </c>
      <c r="K290" t="s">
        <v>95</v>
      </c>
      <c r="L290" s="2">
        <v>41973</v>
      </c>
      <c r="M290" t="s">
        <v>62</v>
      </c>
      <c r="N290" t="s">
        <v>96</v>
      </c>
      <c r="O290" t="s">
        <v>91</v>
      </c>
      <c r="P290" t="s">
        <v>92</v>
      </c>
      <c r="Q290" t="s">
        <v>93</v>
      </c>
      <c r="R290">
        <v>99999</v>
      </c>
      <c r="S290" t="s">
        <v>30</v>
      </c>
      <c r="T290" t="s">
        <v>48</v>
      </c>
      <c r="U290" t="s">
        <v>80</v>
      </c>
      <c r="V290" t="s">
        <v>81</v>
      </c>
      <c r="W290" s="3">
        <v>9.65</v>
      </c>
      <c r="X290">
        <v>46</v>
      </c>
      <c r="Y290" s="4">
        <v>443.90000000000003</v>
      </c>
      <c r="Z290" s="3">
        <v>45.721700000000006</v>
      </c>
    </row>
    <row r="291" spans="1:26" x14ac:dyDescent="0.35">
      <c r="A291">
        <v>1337</v>
      </c>
      <c r="B291" s="2">
        <v>41971</v>
      </c>
      <c r="C291">
        <v>28</v>
      </c>
      <c r="D291" t="s">
        <v>90</v>
      </c>
      <c r="E291" t="s">
        <v>91</v>
      </c>
      <c r="F291" t="s">
        <v>92</v>
      </c>
      <c r="G291" t="s">
        <v>93</v>
      </c>
      <c r="H291">
        <v>99999</v>
      </c>
      <c r="I291" t="s">
        <v>30</v>
      </c>
      <c r="J291" t="s">
        <v>94</v>
      </c>
      <c r="K291" t="s">
        <v>95</v>
      </c>
      <c r="L291">
        <v>41973</v>
      </c>
      <c r="M291" t="s">
        <v>62</v>
      </c>
      <c r="N291" t="s">
        <v>96</v>
      </c>
      <c r="O291" t="s">
        <v>91</v>
      </c>
      <c r="P291" t="s">
        <v>92</v>
      </c>
      <c r="Q291" t="s">
        <v>93</v>
      </c>
      <c r="R291">
        <v>99999</v>
      </c>
      <c r="S291" t="s">
        <v>30</v>
      </c>
      <c r="T291" t="s">
        <v>48</v>
      </c>
      <c r="U291" t="s">
        <v>123</v>
      </c>
      <c r="V291" t="s">
        <v>124</v>
      </c>
      <c r="W291" s="3">
        <v>18.399999999999999</v>
      </c>
      <c r="X291">
        <v>100</v>
      </c>
      <c r="Y291" s="4">
        <v>1839.9999999999998</v>
      </c>
      <c r="Z291" s="3">
        <v>184</v>
      </c>
    </row>
    <row r="292" spans="1:26" x14ac:dyDescent="0.35">
      <c r="A292">
        <v>1338</v>
      </c>
      <c r="B292" s="2">
        <v>41952</v>
      </c>
      <c r="C292">
        <v>9</v>
      </c>
      <c r="D292" t="s">
        <v>125</v>
      </c>
      <c r="E292" t="s">
        <v>126</v>
      </c>
      <c r="F292" t="s">
        <v>127</v>
      </c>
      <c r="G292" t="s">
        <v>128</v>
      </c>
      <c r="H292">
        <v>99999</v>
      </c>
      <c r="I292" t="s">
        <v>30</v>
      </c>
      <c r="J292" t="s">
        <v>129</v>
      </c>
      <c r="K292" t="s">
        <v>32</v>
      </c>
      <c r="L292">
        <v>41954</v>
      </c>
      <c r="M292" t="s">
        <v>46</v>
      </c>
      <c r="N292" t="s">
        <v>130</v>
      </c>
      <c r="O292" t="s">
        <v>126</v>
      </c>
      <c r="P292" t="s">
        <v>127</v>
      </c>
      <c r="Q292" t="s">
        <v>128</v>
      </c>
      <c r="R292">
        <v>99999</v>
      </c>
      <c r="S292" t="s">
        <v>30</v>
      </c>
      <c r="T292" t="s">
        <v>35</v>
      </c>
      <c r="U292" t="s">
        <v>131</v>
      </c>
      <c r="V292" t="s">
        <v>132</v>
      </c>
      <c r="W292" s="3">
        <v>19.5</v>
      </c>
      <c r="X292">
        <v>87</v>
      </c>
      <c r="Y292" s="4">
        <v>1696.5</v>
      </c>
      <c r="Z292" s="3">
        <v>174.73950000000002</v>
      </c>
    </row>
    <row r="293" spans="1:26" x14ac:dyDescent="0.35">
      <c r="A293">
        <v>1339</v>
      </c>
      <c r="B293" s="2">
        <v>41952</v>
      </c>
      <c r="C293">
        <v>9</v>
      </c>
      <c r="D293" t="s">
        <v>125</v>
      </c>
      <c r="E293" t="s">
        <v>126</v>
      </c>
      <c r="F293" t="s">
        <v>127</v>
      </c>
      <c r="G293" t="s">
        <v>128</v>
      </c>
      <c r="H293">
        <v>99999</v>
      </c>
      <c r="I293" t="s">
        <v>30</v>
      </c>
      <c r="J293" t="s">
        <v>129</v>
      </c>
      <c r="K293" t="s">
        <v>32</v>
      </c>
      <c r="L293">
        <v>41954</v>
      </c>
      <c r="M293" t="s">
        <v>46</v>
      </c>
      <c r="N293" t="s">
        <v>130</v>
      </c>
      <c r="O293" t="s">
        <v>126</v>
      </c>
      <c r="P293" t="s">
        <v>127</v>
      </c>
      <c r="Q293" t="s">
        <v>128</v>
      </c>
      <c r="R293">
        <v>99999</v>
      </c>
      <c r="S293" t="s">
        <v>30</v>
      </c>
      <c r="T293" t="s">
        <v>35</v>
      </c>
      <c r="U293" t="s">
        <v>133</v>
      </c>
      <c r="V293" t="s">
        <v>134</v>
      </c>
      <c r="W293" s="3">
        <v>34.799999999999997</v>
      </c>
      <c r="X293">
        <v>58</v>
      </c>
      <c r="Y293" s="4">
        <v>2018.3999999999999</v>
      </c>
      <c r="Z293" s="3">
        <v>205.8768</v>
      </c>
    </row>
    <row r="294" spans="1:26" x14ac:dyDescent="0.35">
      <c r="A294">
        <v>1340</v>
      </c>
      <c r="B294" s="2">
        <v>41949</v>
      </c>
      <c r="C294">
        <v>6</v>
      </c>
      <c r="D294" t="s">
        <v>82</v>
      </c>
      <c r="E294" t="s">
        <v>83</v>
      </c>
      <c r="F294" t="s">
        <v>84</v>
      </c>
      <c r="G294" t="s">
        <v>85</v>
      </c>
      <c r="H294">
        <v>99999</v>
      </c>
      <c r="I294" t="s">
        <v>30</v>
      </c>
      <c r="J294" t="s">
        <v>86</v>
      </c>
      <c r="K294" t="s">
        <v>61</v>
      </c>
      <c r="L294">
        <v>41951</v>
      </c>
      <c r="M294" t="s">
        <v>33</v>
      </c>
      <c r="N294" t="s">
        <v>87</v>
      </c>
      <c r="O294" t="s">
        <v>83</v>
      </c>
      <c r="P294" t="s">
        <v>84</v>
      </c>
      <c r="Q294" t="s">
        <v>85</v>
      </c>
      <c r="R294">
        <v>99999</v>
      </c>
      <c r="S294" t="s">
        <v>30</v>
      </c>
      <c r="T294" t="s">
        <v>48</v>
      </c>
      <c r="U294" t="s">
        <v>36</v>
      </c>
      <c r="V294" t="s">
        <v>37</v>
      </c>
      <c r="W294" s="3">
        <v>14</v>
      </c>
      <c r="X294">
        <v>85</v>
      </c>
      <c r="Y294" s="4">
        <v>1190</v>
      </c>
      <c r="Z294" s="3">
        <v>120.19</v>
      </c>
    </row>
    <row r="295" spans="1:26" x14ac:dyDescent="0.35">
      <c r="A295">
        <v>1341</v>
      </c>
      <c r="B295" s="2">
        <v>41951</v>
      </c>
      <c r="C295">
        <v>8</v>
      </c>
      <c r="D295" t="s">
        <v>56</v>
      </c>
      <c r="E295" t="s">
        <v>57</v>
      </c>
      <c r="F295" t="s">
        <v>58</v>
      </c>
      <c r="G295" t="s">
        <v>59</v>
      </c>
      <c r="H295">
        <v>99999</v>
      </c>
      <c r="I295" t="s">
        <v>30</v>
      </c>
      <c r="J295" t="s">
        <v>60</v>
      </c>
      <c r="K295" t="s">
        <v>61</v>
      </c>
      <c r="L295">
        <v>41953</v>
      </c>
      <c r="M295" t="s">
        <v>33</v>
      </c>
      <c r="N295" t="s">
        <v>63</v>
      </c>
      <c r="O295" t="s">
        <v>57</v>
      </c>
      <c r="P295" t="s">
        <v>58</v>
      </c>
      <c r="Q295" t="s">
        <v>59</v>
      </c>
      <c r="R295">
        <v>99999</v>
      </c>
      <c r="S295" t="s">
        <v>30</v>
      </c>
      <c r="T295" t="s">
        <v>35</v>
      </c>
      <c r="U295" t="s">
        <v>88</v>
      </c>
      <c r="V295" t="s">
        <v>89</v>
      </c>
      <c r="W295" s="3">
        <v>40</v>
      </c>
      <c r="X295">
        <v>28</v>
      </c>
      <c r="Y295" s="4">
        <v>1120</v>
      </c>
      <c r="Z295" s="3">
        <v>110.88</v>
      </c>
    </row>
    <row r="296" spans="1:26" x14ac:dyDescent="0.35">
      <c r="A296">
        <v>1342</v>
      </c>
      <c r="B296" s="2">
        <v>41951</v>
      </c>
      <c r="C296">
        <v>8</v>
      </c>
      <c r="D296" t="s">
        <v>56</v>
      </c>
      <c r="E296" t="s">
        <v>57</v>
      </c>
      <c r="F296" t="s">
        <v>58</v>
      </c>
      <c r="G296" t="s">
        <v>59</v>
      </c>
      <c r="H296">
        <v>99999</v>
      </c>
      <c r="I296" t="s">
        <v>30</v>
      </c>
      <c r="J296" t="s">
        <v>60</v>
      </c>
      <c r="K296" t="s">
        <v>61</v>
      </c>
      <c r="L296" s="2">
        <v>41953</v>
      </c>
      <c r="M296" t="s">
        <v>33</v>
      </c>
      <c r="N296" t="s">
        <v>63</v>
      </c>
      <c r="O296" t="s">
        <v>57</v>
      </c>
      <c r="P296" t="s">
        <v>58</v>
      </c>
      <c r="Q296" t="s">
        <v>59</v>
      </c>
      <c r="R296">
        <v>99999</v>
      </c>
      <c r="S296" t="s">
        <v>30</v>
      </c>
      <c r="T296" t="s">
        <v>35</v>
      </c>
      <c r="U296" t="s">
        <v>64</v>
      </c>
      <c r="V296" t="s">
        <v>65</v>
      </c>
      <c r="W296" s="3">
        <v>9.1999999999999993</v>
      </c>
      <c r="X296">
        <v>19</v>
      </c>
      <c r="Y296" s="4">
        <v>174.79999999999998</v>
      </c>
      <c r="Z296" s="3">
        <v>17.130400000000002</v>
      </c>
    </row>
    <row r="297" spans="1:26" x14ac:dyDescent="0.35">
      <c r="A297">
        <v>1343</v>
      </c>
      <c r="B297" s="2">
        <v>41968</v>
      </c>
      <c r="C297">
        <v>25</v>
      </c>
      <c r="D297" t="s">
        <v>137</v>
      </c>
      <c r="E297" t="s">
        <v>138</v>
      </c>
      <c r="F297" t="s">
        <v>99</v>
      </c>
      <c r="G297" t="s">
        <v>100</v>
      </c>
      <c r="H297">
        <v>99999</v>
      </c>
      <c r="I297" t="s">
        <v>30</v>
      </c>
      <c r="J297" t="s">
        <v>101</v>
      </c>
      <c r="K297" t="s">
        <v>45</v>
      </c>
      <c r="L297" s="2">
        <v>41970</v>
      </c>
      <c r="M297" t="s">
        <v>46</v>
      </c>
      <c r="N297" t="s">
        <v>139</v>
      </c>
      <c r="O297" t="s">
        <v>138</v>
      </c>
      <c r="P297" t="s">
        <v>99</v>
      </c>
      <c r="Q297" t="s">
        <v>100</v>
      </c>
      <c r="R297">
        <v>99999</v>
      </c>
      <c r="S297" t="s">
        <v>30</v>
      </c>
      <c r="T297" t="s">
        <v>79</v>
      </c>
      <c r="U297" t="s">
        <v>146</v>
      </c>
      <c r="V297" t="s">
        <v>65</v>
      </c>
      <c r="W297" s="3">
        <v>10</v>
      </c>
      <c r="X297">
        <v>99</v>
      </c>
      <c r="Y297" s="4">
        <v>990</v>
      </c>
      <c r="Z297" s="3">
        <v>102.96000000000001</v>
      </c>
    </row>
    <row r="298" spans="1:26" x14ac:dyDescent="0.35">
      <c r="A298">
        <v>1344</v>
      </c>
      <c r="B298" s="2">
        <v>41969</v>
      </c>
      <c r="C298">
        <v>26</v>
      </c>
      <c r="D298" t="s">
        <v>140</v>
      </c>
      <c r="E298" t="s">
        <v>141</v>
      </c>
      <c r="F298" t="s">
        <v>115</v>
      </c>
      <c r="G298" t="s">
        <v>116</v>
      </c>
      <c r="H298">
        <v>99999</v>
      </c>
      <c r="I298" t="s">
        <v>30</v>
      </c>
      <c r="J298" t="s">
        <v>94</v>
      </c>
      <c r="K298" t="s">
        <v>95</v>
      </c>
      <c r="L298" s="2">
        <v>41971</v>
      </c>
      <c r="M298" t="s">
        <v>62</v>
      </c>
      <c r="N298" t="s">
        <v>142</v>
      </c>
      <c r="O298" t="s">
        <v>141</v>
      </c>
      <c r="P298" t="s">
        <v>115</v>
      </c>
      <c r="Q298" t="s">
        <v>116</v>
      </c>
      <c r="R298">
        <v>99999</v>
      </c>
      <c r="S298" t="s">
        <v>30</v>
      </c>
      <c r="T298" t="s">
        <v>48</v>
      </c>
      <c r="U298" t="s">
        <v>147</v>
      </c>
      <c r="V298" t="s">
        <v>148</v>
      </c>
      <c r="W298" s="3">
        <v>21.35</v>
      </c>
      <c r="X298">
        <v>69</v>
      </c>
      <c r="Y298" s="4">
        <v>1473.15</v>
      </c>
      <c r="Z298" s="3">
        <v>153.20760000000004</v>
      </c>
    </row>
    <row r="299" spans="1:26" x14ac:dyDescent="0.35">
      <c r="A299">
        <v>1345</v>
      </c>
      <c r="B299" s="2">
        <v>41969</v>
      </c>
      <c r="C299">
        <v>26</v>
      </c>
      <c r="D299" t="s">
        <v>140</v>
      </c>
      <c r="E299" t="s">
        <v>141</v>
      </c>
      <c r="F299" t="s">
        <v>115</v>
      </c>
      <c r="G299" t="s">
        <v>116</v>
      </c>
      <c r="H299">
        <v>99999</v>
      </c>
      <c r="I299" t="s">
        <v>30</v>
      </c>
      <c r="J299" t="s">
        <v>94</v>
      </c>
      <c r="K299" t="s">
        <v>95</v>
      </c>
      <c r="L299" s="2">
        <v>41971</v>
      </c>
      <c r="M299" t="s">
        <v>62</v>
      </c>
      <c r="N299" t="s">
        <v>142</v>
      </c>
      <c r="O299" t="s">
        <v>141</v>
      </c>
      <c r="P299" t="s">
        <v>115</v>
      </c>
      <c r="Q299" t="s">
        <v>116</v>
      </c>
      <c r="R299">
        <v>99999</v>
      </c>
      <c r="S299" t="s">
        <v>30</v>
      </c>
      <c r="T299" t="s">
        <v>48</v>
      </c>
      <c r="U299" t="s">
        <v>80</v>
      </c>
      <c r="V299" t="s">
        <v>81</v>
      </c>
      <c r="W299" s="3">
        <v>9.65</v>
      </c>
      <c r="X299">
        <v>37</v>
      </c>
      <c r="Y299" s="4">
        <v>357.05</v>
      </c>
      <c r="Z299" s="3">
        <v>33.919750000000001</v>
      </c>
    </row>
    <row r="300" spans="1:26" x14ac:dyDescent="0.35">
      <c r="A300">
        <v>1346</v>
      </c>
      <c r="B300" s="2">
        <v>41969</v>
      </c>
      <c r="C300">
        <v>26</v>
      </c>
      <c r="D300" t="s">
        <v>140</v>
      </c>
      <c r="E300" t="s">
        <v>141</v>
      </c>
      <c r="F300" t="s">
        <v>115</v>
      </c>
      <c r="G300" t="s">
        <v>116</v>
      </c>
      <c r="H300">
        <v>99999</v>
      </c>
      <c r="I300" t="s">
        <v>30</v>
      </c>
      <c r="J300" t="s">
        <v>94</v>
      </c>
      <c r="K300" t="s">
        <v>95</v>
      </c>
      <c r="L300" s="2">
        <v>41971</v>
      </c>
      <c r="M300" t="s">
        <v>62</v>
      </c>
      <c r="N300" t="s">
        <v>142</v>
      </c>
      <c r="O300" t="s">
        <v>141</v>
      </c>
      <c r="P300" t="s">
        <v>115</v>
      </c>
      <c r="Q300" t="s">
        <v>116</v>
      </c>
      <c r="R300">
        <v>99999</v>
      </c>
      <c r="S300" t="s">
        <v>30</v>
      </c>
      <c r="T300" t="s">
        <v>48</v>
      </c>
      <c r="U300" t="s">
        <v>123</v>
      </c>
      <c r="V300" t="s">
        <v>124</v>
      </c>
      <c r="W300" s="3">
        <v>18.399999999999999</v>
      </c>
      <c r="X300">
        <v>64</v>
      </c>
      <c r="Y300" s="4">
        <v>1177.5999999999999</v>
      </c>
      <c r="Z300" s="3">
        <v>118.93759999999999</v>
      </c>
    </row>
    <row r="301" spans="1:26" x14ac:dyDescent="0.35">
      <c r="A301">
        <v>1347</v>
      </c>
      <c r="B301" s="2">
        <v>41972</v>
      </c>
      <c r="C301">
        <v>29</v>
      </c>
      <c r="D301" t="s">
        <v>66</v>
      </c>
      <c r="E301" t="s">
        <v>67</v>
      </c>
      <c r="F301" t="s">
        <v>68</v>
      </c>
      <c r="G301" t="s">
        <v>69</v>
      </c>
      <c r="H301">
        <v>99999</v>
      </c>
      <c r="I301" t="s">
        <v>30</v>
      </c>
      <c r="J301" t="s">
        <v>70</v>
      </c>
      <c r="K301" t="s">
        <v>32</v>
      </c>
      <c r="L301" s="2">
        <v>41974</v>
      </c>
      <c r="M301" t="s">
        <v>33</v>
      </c>
      <c r="N301" t="s">
        <v>71</v>
      </c>
      <c r="O301" t="s">
        <v>67</v>
      </c>
      <c r="P301" t="s">
        <v>68</v>
      </c>
      <c r="Q301" t="s">
        <v>69</v>
      </c>
      <c r="R301">
        <v>99999</v>
      </c>
      <c r="S301" t="s">
        <v>30</v>
      </c>
      <c r="T301" t="s">
        <v>35</v>
      </c>
      <c r="U301" t="s">
        <v>36</v>
      </c>
      <c r="V301" t="s">
        <v>37</v>
      </c>
      <c r="W301" s="3">
        <v>14</v>
      </c>
      <c r="X301">
        <v>38</v>
      </c>
      <c r="Y301" s="4">
        <v>532</v>
      </c>
      <c r="Z301" s="3">
        <v>55.328000000000003</v>
      </c>
    </row>
    <row r="302" spans="1:26" x14ac:dyDescent="0.35">
      <c r="A302">
        <v>1348</v>
      </c>
      <c r="B302" s="2">
        <v>41949</v>
      </c>
      <c r="C302">
        <v>6</v>
      </c>
      <c r="D302" t="s">
        <v>82</v>
      </c>
      <c r="E302" t="s">
        <v>83</v>
      </c>
      <c r="F302" t="s">
        <v>84</v>
      </c>
      <c r="G302" t="s">
        <v>85</v>
      </c>
      <c r="H302">
        <v>99999</v>
      </c>
      <c r="I302" t="s">
        <v>30</v>
      </c>
      <c r="J302" t="s">
        <v>86</v>
      </c>
      <c r="K302" t="s">
        <v>61</v>
      </c>
      <c r="L302" s="2">
        <v>41951</v>
      </c>
      <c r="M302" t="s">
        <v>62</v>
      </c>
      <c r="N302" t="s">
        <v>87</v>
      </c>
      <c r="O302" t="s">
        <v>83</v>
      </c>
      <c r="P302" t="s">
        <v>84</v>
      </c>
      <c r="Q302" t="s">
        <v>85</v>
      </c>
      <c r="R302">
        <v>99999</v>
      </c>
      <c r="S302" t="s">
        <v>30</v>
      </c>
      <c r="T302" t="s">
        <v>35</v>
      </c>
      <c r="U302" t="s">
        <v>72</v>
      </c>
      <c r="V302" t="s">
        <v>73</v>
      </c>
      <c r="W302" s="3">
        <v>12.75</v>
      </c>
      <c r="X302">
        <v>15</v>
      </c>
      <c r="Y302" s="4">
        <v>191.25</v>
      </c>
      <c r="Z302" s="3">
        <v>18.55125</v>
      </c>
    </row>
    <row r="303" spans="1:26" x14ac:dyDescent="0.35">
      <c r="A303">
        <v>1350</v>
      </c>
      <c r="B303" s="2">
        <v>41947</v>
      </c>
      <c r="C303">
        <v>4</v>
      </c>
      <c r="D303" t="s">
        <v>40</v>
      </c>
      <c r="E303" t="s">
        <v>41</v>
      </c>
      <c r="F303" t="s">
        <v>42</v>
      </c>
      <c r="G303" t="s">
        <v>43</v>
      </c>
      <c r="H303">
        <v>99999</v>
      </c>
      <c r="I303" t="s">
        <v>30</v>
      </c>
      <c r="J303" t="s">
        <v>44</v>
      </c>
      <c r="K303" t="s">
        <v>45</v>
      </c>
      <c r="L303" s="2">
        <v>41949</v>
      </c>
      <c r="M303" t="s">
        <v>46</v>
      </c>
      <c r="N303" t="s">
        <v>47</v>
      </c>
      <c r="O303" t="s">
        <v>41</v>
      </c>
      <c r="P303" t="s">
        <v>42</v>
      </c>
      <c r="Q303" t="s">
        <v>43</v>
      </c>
      <c r="R303">
        <v>99999</v>
      </c>
      <c r="S303" t="s">
        <v>30</v>
      </c>
      <c r="T303" t="s">
        <v>48</v>
      </c>
      <c r="U303" t="s">
        <v>149</v>
      </c>
      <c r="V303" t="s">
        <v>110</v>
      </c>
      <c r="W303" s="3">
        <v>81</v>
      </c>
      <c r="X303">
        <v>52</v>
      </c>
      <c r="Y303" s="4">
        <v>4212</v>
      </c>
      <c r="Z303" s="3">
        <v>412.77600000000001</v>
      </c>
    </row>
    <row r="304" spans="1:26" x14ac:dyDescent="0.35">
      <c r="A304">
        <v>1351</v>
      </c>
      <c r="B304" s="2">
        <v>41947</v>
      </c>
      <c r="C304">
        <v>4</v>
      </c>
      <c r="D304" t="s">
        <v>40</v>
      </c>
      <c r="E304" t="s">
        <v>41</v>
      </c>
      <c r="F304" t="s">
        <v>42</v>
      </c>
      <c r="G304" t="s">
        <v>43</v>
      </c>
      <c r="H304">
        <v>99999</v>
      </c>
      <c r="I304" t="s">
        <v>30</v>
      </c>
      <c r="J304" t="s">
        <v>44</v>
      </c>
      <c r="K304" t="s">
        <v>45</v>
      </c>
      <c r="L304" s="2">
        <v>41949</v>
      </c>
      <c r="M304" t="s">
        <v>46</v>
      </c>
      <c r="N304" t="s">
        <v>47</v>
      </c>
      <c r="O304" t="s">
        <v>41</v>
      </c>
      <c r="P304" t="s">
        <v>42</v>
      </c>
      <c r="Q304" t="s">
        <v>43</v>
      </c>
      <c r="R304">
        <v>99999</v>
      </c>
      <c r="S304" t="s">
        <v>30</v>
      </c>
      <c r="T304" t="s">
        <v>48</v>
      </c>
      <c r="U304" t="s">
        <v>150</v>
      </c>
      <c r="V304" t="s">
        <v>151</v>
      </c>
      <c r="W304" s="3">
        <v>7</v>
      </c>
      <c r="X304">
        <v>37</v>
      </c>
      <c r="Y304" s="4">
        <v>259</v>
      </c>
      <c r="Z304" s="3">
        <v>25.382000000000001</v>
      </c>
    </row>
    <row r="305" spans="1:26" x14ac:dyDescent="0.35">
      <c r="A305">
        <v>1353</v>
      </c>
      <c r="B305" s="2">
        <v>41951</v>
      </c>
      <c r="C305">
        <v>8</v>
      </c>
      <c r="D305" t="s">
        <v>56</v>
      </c>
      <c r="E305" t="s">
        <v>57</v>
      </c>
      <c r="F305" t="s">
        <v>58</v>
      </c>
      <c r="G305" t="s">
        <v>59</v>
      </c>
      <c r="H305">
        <v>99999</v>
      </c>
      <c r="I305" t="s">
        <v>30</v>
      </c>
      <c r="J305" t="s">
        <v>60</v>
      </c>
      <c r="K305" t="s">
        <v>61</v>
      </c>
      <c r="L305" s="2">
        <v>41953</v>
      </c>
      <c r="M305" t="s">
        <v>62</v>
      </c>
      <c r="N305" t="s">
        <v>63</v>
      </c>
      <c r="O305" t="s">
        <v>57</v>
      </c>
      <c r="P305" t="s">
        <v>58</v>
      </c>
      <c r="Q305" t="s">
        <v>59</v>
      </c>
      <c r="R305">
        <v>99999</v>
      </c>
      <c r="S305" t="s">
        <v>30</v>
      </c>
      <c r="T305" t="s">
        <v>48</v>
      </c>
      <c r="U305" t="s">
        <v>133</v>
      </c>
      <c r="V305" t="s">
        <v>134</v>
      </c>
      <c r="W305" s="3">
        <v>34.799999999999997</v>
      </c>
      <c r="X305">
        <v>24</v>
      </c>
      <c r="Y305" s="4">
        <v>835.19999999999993</v>
      </c>
      <c r="Z305" s="3">
        <v>80.179199999999994</v>
      </c>
    </row>
    <row r="306" spans="1:26" x14ac:dyDescent="0.35">
      <c r="A306">
        <v>1356</v>
      </c>
      <c r="B306" s="2">
        <v>41946</v>
      </c>
      <c r="C306">
        <v>3</v>
      </c>
      <c r="D306" t="s">
        <v>74</v>
      </c>
      <c r="E306" t="s">
        <v>75</v>
      </c>
      <c r="F306" t="s">
        <v>76</v>
      </c>
      <c r="G306" t="s">
        <v>77</v>
      </c>
      <c r="H306">
        <v>99999</v>
      </c>
      <c r="I306" t="s">
        <v>30</v>
      </c>
      <c r="J306" t="s">
        <v>31</v>
      </c>
      <c r="K306" t="s">
        <v>32</v>
      </c>
      <c r="L306" s="2">
        <v>41948</v>
      </c>
      <c r="M306" t="s">
        <v>33</v>
      </c>
      <c r="N306" t="s">
        <v>78</v>
      </c>
      <c r="O306" t="s">
        <v>75</v>
      </c>
      <c r="P306" t="s">
        <v>76</v>
      </c>
      <c r="Q306" t="s">
        <v>77</v>
      </c>
      <c r="R306">
        <v>99999</v>
      </c>
      <c r="S306" t="s">
        <v>30</v>
      </c>
      <c r="T306" t="s">
        <v>79</v>
      </c>
      <c r="U306" t="s">
        <v>135</v>
      </c>
      <c r="V306" t="s">
        <v>112</v>
      </c>
      <c r="W306" s="3">
        <v>10</v>
      </c>
      <c r="X306">
        <v>36</v>
      </c>
      <c r="Y306" s="4">
        <v>360</v>
      </c>
      <c r="Z306" s="3">
        <v>37.08</v>
      </c>
    </row>
    <row r="307" spans="1:26" x14ac:dyDescent="0.35">
      <c r="A307">
        <v>1357</v>
      </c>
      <c r="B307" s="2">
        <v>41946</v>
      </c>
      <c r="C307">
        <v>3</v>
      </c>
      <c r="D307" t="s">
        <v>74</v>
      </c>
      <c r="E307" t="s">
        <v>75</v>
      </c>
      <c r="F307" t="s">
        <v>76</v>
      </c>
      <c r="G307" t="s">
        <v>77</v>
      </c>
      <c r="H307">
        <v>99999</v>
      </c>
      <c r="I307" t="s">
        <v>30</v>
      </c>
      <c r="J307" t="s">
        <v>31</v>
      </c>
      <c r="K307" t="s">
        <v>32</v>
      </c>
      <c r="L307" s="2">
        <v>41948</v>
      </c>
      <c r="M307" t="s">
        <v>33</v>
      </c>
      <c r="N307" t="s">
        <v>78</v>
      </c>
      <c r="O307" t="s">
        <v>75</v>
      </c>
      <c r="P307" t="s">
        <v>76</v>
      </c>
      <c r="Q307" t="s">
        <v>77</v>
      </c>
      <c r="R307">
        <v>99999</v>
      </c>
      <c r="S307" t="s">
        <v>30</v>
      </c>
      <c r="T307" t="s">
        <v>79</v>
      </c>
      <c r="U307" t="s">
        <v>88</v>
      </c>
      <c r="V307" t="s">
        <v>89</v>
      </c>
      <c r="W307" s="3">
        <v>40</v>
      </c>
      <c r="X307">
        <v>24</v>
      </c>
      <c r="Y307" s="4">
        <v>960</v>
      </c>
      <c r="Z307" s="3">
        <v>96</v>
      </c>
    </row>
    <row r="308" spans="1:26" x14ac:dyDescent="0.35">
      <c r="A308">
        <v>1361</v>
      </c>
      <c r="B308" s="2">
        <v>41953</v>
      </c>
      <c r="C308">
        <v>10</v>
      </c>
      <c r="D308" t="s">
        <v>97</v>
      </c>
      <c r="E308" t="s">
        <v>98</v>
      </c>
      <c r="F308" t="s">
        <v>99</v>
      </c>
      <c r="G308" t="s">
        <v>100</v>
      </c>
      <c r="H308">
        <v>99999</v>
      </c>
      <c r="I308" t="s">
        <v>30</v>
      </c>
      <c r="J308" t="s">
        <v>101</v>
      </c>
      <c r="K308" t="s">
        <v>45</v>
      </c>
      <c r="L308" s="2">
        <v>41955</v>
      </c>
      <c r="M308" t="s">
        <v>33</v>
      </c>
      <c r="N308" t="s">
        <v>102</v>
      </c>
      <c r="O308" t="s">
        <v>98</v>
      </c>
      <c r="P308" t="s">
        <v>99</v>
      </c>
      <c r="Q308" t="s">
        <v>100</v>
      </c>
      <c r="R308">
        <v>99999</v>
      </c>
      <c r="S308" t="s">
        <v>30</v>
      </c>
      <c r="T308" t="s">
        <v>48</v>
      </c>
      <c r="U308" t="s">
        <v>136</v>
      </c>
      <c r="V308" t="s">
        <v>39</v>
      </c>
      <c r="W308" s="3">
        <v>10</v>
      </c>
      <c r="X308">
        <v>20</v>
      </c>
      <c r="Y308" s="4">
        <v>200</v>
      </c>
      <c r="Z308" s="3">
        <v>20</v>
      </c>
    </row>
    <row r="309" spans="1:26" x14ac:dyDescent="0.35">
      <c r="A309">
        <v>1363</v>
      </c>
      <c r="B309" s="2">
        <v>41953</v>
      </c>
      <c r="C309">
        <v>10</v>
      </c>
      <c r="D309" t="s">
        <v>97</v>
      </c>
      <c r="E309" t="s">
        <v>98</v>
      </c>
      <c r="F309" t="s">
        <v>99</v>
      </c>
      <c r="G309" t="s">
        <v>100</v>
      </c>
      <c r="H309">
        <v>99999</v>
      </c>
      <c r="I309" t="s">
        <v>30</v>
      </c>
      <c r="J309" t="s">
        <v>101</v>
      </c>
      <c r="K309" t="s">
        <v>45</v>
      </c>
      <c r="L309" s="2"/>
      <c r="M309" t="s">
        <v>46</v>
      </c>
      <c r="N309" t="s">
        <v>102</v>
      </c>
      <c r="O309" t="s">
        <v>98</v>
      </c>
      <c r="P309" t="s">
        <v>99</v>
      </c>
      <c r="Q309" t="s">
        <v>100</v>
      </c>
      <c r="R309">
        <v>99999</v>
      </c>
      <c r="S309" t="s">
        <v>30</v>
      </c>
      <c r="U309" t="s">
        <v>38</v>
      </c>
      <c r="V309" t="s">
        <v>39</v>
      </c>
      <c r="W309">
        <v>3.5</v>
      </c>
      <c r="X309">
        <v>11</v>
      </c>
      <c r="Y309" s="4">
        <v>38.5</v>
      </c>
      <c r="Z309" s="3">
        <v>3.7345000000000002</v>
      </c>
    </row>
    <row r="310" spans="1:26" x14ac:dyDescent="0.35">
      <c r="A310">
        <v>1364</v>
      </c>
      <c r="B310" s="2">
        <v>41954</v>
      </c>
      <c r="C310">
        <v>11</v>
      </c>
      <c r="D310" t="s">
        <v>113</v>
      </c>
      <c r="E310" t="s">
        <v>114</v>
      </c>
      <c r="F310" t="s">
        <v>115</v>
      </c>
      <c r="G310" t="s">
        <v>116</v>
      </c>
      <c r="H310">
        <v>99999</v>
      </c>
      <c r="I310" t="s">
        <v>30</v>
      </c>
      <c r="J310" t="s">
        <v>94</v>
      </c>
      <c r="K310" t="s">
        <v>95</v>
      </c>
      <c r="L310" s="2"/>
      <c r="M310" t="s">
        <v>62</v>
      </c>
      <c r="N310" t="s">
        <v>117</v>
      </c>
      <c r="O310" t="s">
        <v>114</v>
      </c>
      <c r="P310" t="s">
        <v>115</v>
      </c>
      <c r="Q310" t="s">
        <v>116</v>
      </c>
      <c r="R310">
        <v>99999</v>
      </c>
      <c r="S310" t="s">
        <v>30</v>
      </c>
      <c r="U310" t="s">
        <v>88</v>
      </c>
      <c r="V310" t="s">
        <v>89</v>
      </c>
      <c r="W310">
        <v>40</v>
      </c>
      <c r="X310">
        <v>78</v>
      </c>
      <c r="Y310" s="4">
        <v>3120</v>
      </c>
      <c r="Z310" s="3">
        <v>299.52</v>
      </c>
    </row>
    <row r="311" spans="1:26" x14ac:dyDescent="0.35">
      <c r="A311">
        <v>1365</v>
      </c>
      <c r="B311" s="2">
        <v>41944</v>
      </c>
      <c r="C311">
        <v>1</v>
      </c>
      <c r="D311" t="s">
        <v>118</v>
      </c>
      <c r="E311" t="s">
        <v>119</v>
      </c>
      <c r="F311" t="s">
        <v>120</v>
      </c>
      <c r="G311" t="s">
        <v>121</v>
      </c>
      <c r="H311">
        <v>99999</v>
      </c>
      <c r="I311" t="s">
        <v>30</v>
      </c>
      <c r="J311" t="s">
        <v>60</v>
      </c>
      <c r="K311" t="s">
        <v>61</v>
      </c>
      <c r="L311" s="2"/>
      <c r="M311" t="s">
        <v>62</v>
      </c>
      <c r="N311" t="s">
        <v>122</v>
      </c>
      <c r="O311" t="s">
        <v>119</v>
      </c>
      <c r="P311" t="s">
        <v>120</v>
      </c>
      <c r="Q311" t="s">
        <v>121</v>
      </c>
      <c r="R311">
        <v>99999</v>
      </c>
      <c r="S311" t="s">
        <v>30</v>
      </c>
      <c r="U311" t="s">
        <v>123</v>
      </c>
      <c r="V311" t="s">
        <v>124</v>
      </c>
      <c r="W311">
        <v>18.399999999999999</v>
      </c>
      <c r="X311">
        <v>76</v>
      </c>
      <c r="Y311" s="4">
        <v>1398.3999999999999</v>
      </c>
      <c r="Z311" s="3">
        <v>144.0352</v>
      </c>
    </row>
    <row r="312" spans="1:26" x14ac:dyDescent="0.35">
      <c r="A312">
        <v>1366</v>
      </c>
      <c r="B312" s="2">
        <v>41971</v>
      </c>
      <c r="C312">
        <v>28</v>
      </c>
      <c r="D312" t="s">
        <v>90</v>
      </c>
      <c r="E312" t="s">
        <v>91</v>
      </c>
      <c r="F312" t="s">
        <v>92</v>
      </c>
      <c r="G312" t="s">
        <v>93</v>
      </c>
      <c r="H312">
        <v>99999</v>
      </c>
      <c r="I312" t="s">
        <v>30</v>
      </c>
      <c r="J312" t="s">
        <v>94</v>
      </c>
      <c r="K312" t="s">
        <v>95</v>
      </c>
      <c r="L312" s="2">
        <v>41973</v>
      </c>
      <c r="M312" t="s">
        <v>62</v>
      </c>
      <c r="N312" t="s">
        <v>96</v>
      </c>
      <c r="O312" t="s">
        <v>91</v>
      </c>
      <c r="P312" t="s">
        <v>92</v>
      </c>
      <c r="Q312" t="s">
        <v>93</v>
      </c>
      <c r="R312">
        <v>99999</v>
      </c>
      <c r="S312" t="s">
        <v>30</v>
      </c>
      <c r="T312" t="s">
        <v>48</v>
      </c>
      <c r="U312" t="s">
        <v>55</v>
      </c>
      <c r="V312" t="s">
        <v>37</v>
      </c>
      <c r="W312">
        <v>46</v>
      </c>
      <c r="X312">
        <v>57</v>
      </c>
      <c r="Y312" s="4">
        <v>2622</v>
      </c>
      <c r="Z312" s="3">
        <v>272.68799999999999</v>
      </c>
    </row>
    <row r="313" spans="1:26" x14ac:dyDescent="0.35">
      <c r="A313">
        <v>1367</v>
      </c>
      <c r="B313" s="2">
        <v>41952</v>
      </c>
      <c r="C313">
        <v>9</v>
      </c>
      <c r="D313" t="s">
        <v>125</v>
      </c>
      <c r="E313" t="s">
        <v>126</v>
      </c>
      <c r="F313" t="s">
        <v>127</v>
      </c>
      <c r="G313" t="s">
        <v>128</v>
      </c>
      <c r="H313">
        <v>99999</v>
      </c>
      <c r="I313" t="s">
        <v>30</v>
      </c>
      <c r="J313" t="s">
        <v>129</v>
      </c>
      <c r="K313" t="s">
        <v>32</v>
      </c>
      <c r="L313" s="2">
        <v>41954</v>
      </c>
      <c r="M313" t="s">
        <v>46</v>
      </c>
      <c r="N313" t="s">
        <v>130</v>
      </c>
      <c r="O313" t="s">
        <v>126</v>
      </c>
      <c r="P313" t="s">
        <v>127</v>
      </c>
      <c r="Q313" t="s">
        <v>128</v>
      </c>
      <c r="R313">
        <v>99999</v>
      </c>
      <c r="S313" t="s">
        <v>30</v>
      </c>
      <c r="T313" t="s">
        <v>35</v>
      </c>
      <c r="U313" t="s">
        <v>80</v>
      </c>
      <c r="V313" t="s">
        <v>81</v>
      </c>
      <c r="W313">
        <v>9.65</v>
      </c>
      <c r="X313">
        <v>14</v>
      </c>
      <c r="Y313" s="4">
        <v>135.1</v>
      </c>
      <c r="Z313" s="3">
        <v>12.9696</v>
      </c>
    </row>
    <row r="314" spans="1:26" x14ac:dyDescent="0.35">
      <c r="A314">
        <v>1368</v>
      </c>
      <c r="B314" s="2">
        <v>42000</v>
      </c>
      <c r="C314">
        <v>27</v>
      </c>
      <c r="D314" t="s">
        <v>26</v>
      </c>
      <c r="E314" t="s">
        <v>27</v>
      </c>
      <c r="F314" t="s">
        <v>28</v>
      </c>
      <c r="G314" t="s">
        <v>29</v>
      </c>
      <c r="H314">
        <v>99999</v>
      </c>
      <c r="I314" t="s">
        <v>30</v>
      </c>
      <c r="J314" t="s">
        <v>31</v>
      </c>
      <c r="K314" t="s">
        <v>32</v>
      </c>
      <c r="L314" s="2">
        <v>42002</v>
      </c>
      <c r="M314" t="s">
        <v>33</v>
      </c>
      <c r="N314" t="s">
        <v>34</v>
      </c>
      <c r="O314" t="s">
        <v>27</v>
      </c>
      <c r="P314" t="s">
        <v>28</v>
      </c>
      <c r="Q314" t="s">
        <v>29</v>
      </c>
      <c r="R314">
        <v>99999</v>
      </c>
      <c r="S314" t="s">
        <v>30</v>
      </c>
      <c r="T314" t="s">
        <v>35</v>
      </c>
      <c r="U314" t="s">
        <v>36</v>
      </c>
      <c r="V314" t="s">
        <v>37</v>
      </c>
      <c r="W314">
        <v>14</v>
      </c>
      <c r="X314">
        <v>14</v>
      </c>
      <c r="Y314" s="4">
        <v>196</v>
      </c>
      <c r="Z314" s="3">
        <v>19.796000000000003</v>
      </c>
    </row>
    <row r="315" spans="1:26" x14ac:dyDescent="0.35">
      <c r="A315">
        <v>1369</v>
      </c>
      <c r="B315" s="2">
        <v>42000</v>
      </c>
      <c r="C315">
        <v>27</v>
      </c>
      <c r="D315" t="s">
        <v>26</v>
      </c>
      <c r="E315" t="s">
        <v>27</v>
      </c>
      <c r="F315" t="s">
        <v>28</v>
      </c>
      <c r="G315" t="s">
        <v>29</v>
      </c>
      <c r="H315">
        <v>99999</v>
      </c>
      <c r="I315" t="s">
        <v>30</v>
      </c>
      <c r="J315" t="s">
        <v>31</v>
      </c>
      <c r="K315" t="s">
        <v>32</v>
      </c>
      <c r="L315" s="2">
        <v>42002</v>
      </c>
      <c r="M315" t="s">
        <v>33</v>
      </c>
      <c r="N315" t="s">
        <v>34</v>
      </c>
      <c r="O315" t="s">
        <v>27</v>
      </c>
      <c r="P315" t="s">
        <v>28</v>
      </c>
      <c r="Q315" t="s">
        <v>29</v>
      </c>
      <c r="R315">
        <v>99999</v>
      </c>
      <c r="S315" t="s">
        <v>30</v>
      </c>
      <c r="T315" t="s">
        <v>35</v>
      </c>
      <c r="U315" t="s">
        <v>38</v>
      </c>
      <c r="V315" t="s">
        <v>39</v>
      </c>
      <c r="W315">
        <v>3.5</v>
      </c>
      <c r="X315">
        <v>70</v>
      </c>
      <c r="Y315" s="4">
        <v>245</v>
      </c>
      <c r="Z315" s="3">
        <v>25.234999999999999</v>
      </c>
    </row>
    <row r="316" spans="1:26" x14ac:dyDescent="0.35">
      <c r="A316">
        <v>1370</v>
      </c>
      <c r="B316" s="2">
        <v>41977</v>
      </c>
      <c r="C316">
        <v>4</v>
      </c>
      <c r="D316" t="s">
        <v>40</v>
      </c>
      <c r="E316" t="s">
        <v>41</v>
      </c>
      <c r="F316" t="s">
        <v>42</v>
      </c>
      <c r="G316" t="s">
        <v>43</v>
      </c>
      <c r="H316">
        <v>99999</v>
      </c>
      <c r="I316" t="s">
        <v>30</v>
      </c>
      <c r="J316" t="s">
        <v>44</v>
      </c>
      <c r="K316" t="s">
        <v>45</v>
      </c>
      <c r="L316" s="2">
        <v>41979</v>
      </c>
      <c r="M316" t="s">
        <v>46</v>
      </c>
      <c r="N316" t="s">
        <v>47</v>
      </c>
      <c r="O316" t="s">
        <v>41</v>
      </c>
      <c r="P316" t="s">
        <v>42</v>
      </c>
      <c r="Q316" t="s">
        <v>43</v>
      </c>
      <c r="R316">
        <v>99999</v>
      </c>
      <c r="S316" t="s">
        <v>30</v>
      </c>
      <c r="T316" t="s">
        <v>48</v>
      </c>
      <c r="U316" t="s">
        <v>49</v>
      </c>
      <c r="V316" t="s">
        <v>39</v>
      </c>
      <c r="W316">
        <v>30</v>
      </c>
      <c r="X316">
        <v>100</v>
      </c>
      <c r="Y316" s="4">
        <v>3000</v>
      </c>
      <c r="Z316" s="3">
        <v>291</v>
      </c>
    </row>
    <row r="317" spans="1:26" x14ac:dyDescent="0.35">
      <c r="A317">
        <v>1371</v>
      </c>
      <c r="B317" s="2">
        <v>41977</v>
      </c>
      <c r="C317">
        <v>4</v>
      </c>
      <c r="D317" t="s">
        <v>40</v>
      </c>
      <c r="E317" t="s">
        <v>41</v>
      </c>
      <c r="F317" t="s">
        <v>42</v>
      </c>
      <c r="G317" t="s">
        <v>43</v>
      </c>
      <c r="H317">
        <v>99999</v>
      </c>
      <c r="I317" t="s">
        <v>30</v>
      </c>
      <c r="J317" t="s">
        <v>44</v>
      </c>
      <c r="K317" t="s">
        <v>45</v>
      </c>
      <c r="L317" s="2">
        <v>41979</v>
      </c>
      <c r="M317" t="s">
        <v>46</v>
      </c>
      <c r="N317" t="s">
        <v>47</v>
      </c>
      <c r="O317" t="s">
        <v>41</v>
      </c>
      <c r="P317" t="s">
        <v>42</v>
      </c>
      <c r="Q317" t="s">
        <v>43</v>
      </c>
      <c r="R317">
        <v>99999</v>
      </c>
      <c r="S317" t="s">
        <v>30</v>
      </c>
      <c r="T317" t="s">
        <v>48</v>
      </c>
      <c r="U317" t="s">
        <v>50</v>
      </c>
      <c r="V317" t="s">
        <v>39</v>
      </c>
      <c r="W317">
        <v>53</v>
      </c>
      <c r="X317">
        <v>27</v>
      </c>
      <c r="Y317" s="4">
        <v>1431</v>
      </c>
      <c r="Z317" s="3">
        <v>143.1</v>
      </c>
    </row>
    <row r="318" spans="1:26" x14ac:dyDescent="0.35">
      <c r="A318">
        <v>1372</v>
      </c>
      <c r="B318" s="2">
        <v>41977</v>
      </c>
      <c r="C318">
        <v>4</v>
      </c>
      <c r="D318" t="s">
        <v>40</v>
      </c>
      <c r="E318" t="s">
        <v>41</v>
      </c>
      <c r="F318" t="s">
        <v>42</v>
      </c>
      <c r="G318" t="s">
        <v>43</v>
      </c>
      <c r="H318">
        <v>99999</v>
      </c>
      <c r="I318" t="s">
        <v>30</v>
      </c>
      <c r="J318" t="s">
        <v>44</v>
      </c>
      <c r="K318" t="s">
        <v>45</v>
      </c>
      <c r="L318" s="2">
        <v>41979</v>
      </c>
      <c r="M318" t="s">
        <v>46</v>
      </c>
      <c r="N318" t="s">
        <v>47</v>
      </c>
      <c r="O318" t="s">
        <v>41</v>
      </c>
      <c r="P318" t="s">
        <v>42</v>
      </c>
      <c r="Q318" t="s">
        <v>43</v>
      </c>
      <c r="R318">
        <v>99999</v>
      </c>
      <c r="S318" t="s">
        <v>30</v>
      </c>
      <c r="T318" t="s">
        <v>48</v>
      </c>
      <c r="U318" t="s">
        <v>38</v>
      </c>
      <c r="V318" t="s">
        <v>39</v>
      </c>
      <c r="W318">
        <v>3.5</v>
      </c>
      <c r="X318">
        <v>70</v>
      </c>
      <c r="Y318" s="4">
        <v>245</v>
      </c>
      <c r="Z318" s="3">
        <v>24.009999999999998</v>
      </c>
    </row>
    <row r="319" spans="1:26" x14ac:dyDescent="0.35">
      <c r="A319">
        <v>1373</v>
      </c>
      <c r="B319" s="2">
        <v>41985</v>
      </c>
      <c r="C319">
        <v>12</v>
      </c>
      <c r="D319" t="s">
        <v>51</v>
      </c>
      <c r="E319" t="s">
        <v>52</v>
      </c>
      <c r="F319" t="s">
        <v>28</v>
      </c>
      <c r="G319" t="s">
        <v>29</v>
      </c>
      <c r="H319">
        <v>99999</v>
      </c>
      <c r="I319" t="s">
        <v>30</v>
      </c>
      <c r="J319" t="s">
        <v>31</v>
      </c>
      <c r="K319" t="s">
        <v>32</v>
      </c>
      <c r="L319" s="2">
        <v>41987</v>
      </c>
      <c r="M319" t="s">
        <v>33</v>
      </c>
      <c r="N319" t="s">
        <v>53</v>
      </c>
      <c r="O319" t="s">
        <v>52</v>
      </c>
      <c r="P319" t="s">
        <v>28</v>
      </c>
      <c r="Q319" t="s">
        <v>29</v>
      </c>
      <c r="R319">
        <v>99999</v>
      </c>
      <c r="S319" t="s">
        <v>30</v>
      </c>
      <c r="T319" t="s">
        <v>48</v>
      </c>
      <c r="U319" t="s">
        <v>54</v>
      </c>
      <c r="V319" t="s">
        <v>37</v>
      </c>
      <c r="W319">
        <v>18</v>
      </c>
      <c r="X319">
        <v>57</v>
      </c>
      <c r="Y319" s="4">
        <v>1026</v>
      </c>
      <c r="Z319" s="3">
        <v>102.60000000000001</v>
      </c>
    </row>
    <row r="320" spans="1:26" x14ac:dyDescent="0.35">
      <c r="A320">
        <v>1374</v>
      </c>
      <c r="B320" s="2">
        <v>41985</v>
      </c>
      <c r="C320">
        <v>12</v>
      </c>
      <c r="D320" t="s">
        <v>51</v>
      </c>
      <c r="E320" t="s">
        <v>52</v>
      </c>
      <c r="F320" t="s">
        <v>28</v>
      </c>
      <c r="G320" t="s">
        <v>29</v>
      </c>
      <c r="H320">
        <v>99999</v>
      </c>
      <c r="I320" t="s">
        <v>30</v>
      </c>
      <c r="J320" t="s">
        <v>31</v>
      </c>
      <c r="K320" t="s">
        <v>32</v>
      </c>
      <c r="L320" s="2">
        <v>41987</v>
      </c>
      <c r="M320" t="s">
        <v>33</v>
      </c>
      <c r="N320" t="s">
        <v>53</v>
      </c>
      <c r="O320" t="s">
        <v>52</v>
      </c>
      <c r="P320" t="s">
        <v>28</v>
      </c>
      <c r="Q320" t="s">
        <v>29</v>
      </c>
      <c r="R320">
        <v>99999</v>
      </c>
      <c r="S320" t="s">
        <v>30</v>
      </c>
      <c r="T320" t="s">
        <v>48</v>
      </c>
      <c r="U320" t="s">
        <v>55</v>
      </c>
      <c r="V320" t="s">
        <v>37</v>
      </c>
      <c r="W320">
        <v>46</v>
      </c>
      <c r="X320">
        <v>83</v>
      </c>
      <c r="Y320" s="4">
        <v>3818</v>
      </c>
      <c r="Z320" s="3">
        <v>374.16399999999999</v>
      </c>
    </row>
    <row r="321" spans="1:26" x14ac:dyDescent="0.35">
      <c r="A321">
        <v>1375</v>
      </c>
      <c r="B321" s="2">
        <v>41981</v>
      </c>
      <c r="C321">
        <v>8</v>
      </c>
      <c r="D321" t="s">
        <v>56</v>
      </c>
      <c r="E321" t="s">
        <v>57</v>
      </c>
      <c r="F321" t="s">
        <v>58</v>
      </c>
      <c r="G321" t="s">
        <v>59</v>
      </c>
      <c r="H321">
        <v>99999</v>
      </c>
      <c r="I321" t="s">
        <v>30</v>
      </c>
      <c r="J321" t="s">
        <v>60</v>
      </c>
      <c r="K321" t="s">
        <v>61</v>
      </c>
      <c r="L321" s="2">
        <v>41983</v>
      </c>
      <c r="M321" t="s">
        <v>62</v>
      </c>
      <c r="N321" t="s">
        <v>63</v>
      </c>
      <c r="O321" t="s">
        <v>57</v>
      </c>
      <c r="P321" t="s">
        <v>58</v>
      </c>
      <c r="Q321" t="s">
        <v>59</v>
      </c>
      <c r="R321">
        <v>99999</v>
      </c>
      <c r="S321" t="s">
        <v>30</v>
      </c>
      <c r="T321" t="s">
        <v>48</v>
      </c>
      <c r="U321" t="s">
        <v>64</v>
      </c>
      <c r="V321" t="s">
        <v>65</v>
      </c>
      <c r="W321">
        <v>9.1999999999999993</v>
      </c>
      <c r="X321">
        <v>76</v>
      </c>
      <c r="Y321" s="4">
        <v>699.19999999999993</v>
      </c>
      <c r="Z321" s="3">
        <v>67.123199999999997</v>
      </c>
    </row>
    <row r="322" spans="1:26" x14ac:dyDescent="0.35">
      <c r="A322">
        <v>1376</v>
      </c>
      <c r="B322" s="2">
        <v>41977</v>
      </c>
      <c r="C322">
        <v>4</v>
      </c>
      <c r="D322" t="s">
        <v>40</v>
      </c>
      <c r="E322" t="s">
        <v>41</v>
      </c>
      <c r="F322" t="s">
        <v>42</v>
      </c>
      <c r="G322" t="s">
        <v>43</v>
      </c>
      <c r="H322">
        <v>99999</v>
      </c>
      <c r="I322" t="s">
        <v>30</v>
      </c>
      <c r="J322" t="s">
        <v>44</v>
      </c>
      <c r="K322" t="s">
        <v>45</v>
      </c>
      <c r="L322">
        <v>41979</v>
      </c>
      <c r="M322" t="s">
        <v>62</v>
      </c>
      <c r="N322" t="s">
        <v>47</v>
      </c>
      <c r="O322" t="s">
        <v>41</v>
      </c>
      <c r="P322" t="s">
        <v>42</v>
      </c>
      <c r="Q322" t="s">
        <v>43</v>
      </c>
      <c r="R322">
        <v>99999</v>
      </c>
      <c r="S322" t="s">
        <v>30</v>
      </c>
      <c r="T322" t="s">
        <v>35</v>
      </c>
      <c r="U322" t="s">
        <v>64</v>
      </c>
      <c r="V322" t="s">
        <v>65</v>
      </c>
      <c r="W322">
        <v>9.1999999999999993</v>
      </c>
      <c r="X322">
        <v>80</v>
      </c>
      <c r="Y322" s="4">
        <v>736</v>
      </c>
      <c r="Z322" s="3">
        <v>72.864000000000004</v>
      </c>
    </row>
    <row r="323" spans="1:26" x14ac:dyDescent="0.35">
      <c r="A323">
        <v>1377</v>
      </c>
      <c r="B323" s="2">
        <v>42002</v>
      </c>
      <c r="C323">
        <v>29</v>
      </c>
      <c r="D323" t="s">
        <v>66</v>
      </c>
      <c r="E323" t="s">
        <v>67</v>
      </c>
      <c r="F323" t="s">
        <v>68</v>
      </c>
      <c r="G323" t="s">
        <v>69</v>
      </c>
      <c r="H323">
        <v>99999</v>
      </c>
      <c r="I323" t="s">
        <v>30</v>
      </c>
      <c r="J323" t="s">
        <v>70</v>
      </c>
      <c r="K323" t="s">
        <v>32</v>
      </c>
      <c r="L323">
        <v>42004</v>
      </c>
      <c r="M323" t="s">
        <v>33</v>
      </c>
      <c r="N323" t="s">
        <v>71</v>
      </c>
      <c r="O323" t="s">
        <v>67</v>
      </c>
      <c r="P323" t="s">
        <v>68</v>
      </c>
      <c r="Q323" t="s">
        <v>69</v>
      </c>
      <c r="R323">
        <v>99999</v>
      </c>
      <c r="S323" t="s">
        <v>30</v>
      </c>
      <c r="T323" t="s">
        <v>35</v>
      </c>
      <c r="U323" t="s">
        <v>72</v>
      </c>
      <c r="V323" t="s">
        <v>73</v>
      </c>
      <c r="W323">
        <v>12.75</v>
      </c>
      <c r="X323">
        <v>47</v>
      </c>
      <c r="Y323" s="4">
        <v>599.25</v>
      </c>
      <c r="Z323" s="3">
        <v>59.325750000000006</v>
      </c>
    </row>
    <row r="324" spans="1:26" x14ac:dyDescent="0.35">
      <c r="A324">
        <v>1378</v>
      </c>
      <c r="B324" s="2">
        <v>41976</v>
      </c>
      <c r="C324">
        <v>3</v>
      </c>
      <c r="D324" t="s">
        <v>74</v>
      </c>
      <c r="E324" t="s">
        <v>75</v>
      </c>
      <c r="F324" t="s">
        <v>76</v>
      </c>
      <c r="G324" t="s">
        <v>77</v>
      </c>
      <c r="H324">
        <v>99999</v>
      </c>
      <c r="I324" t="s">
        <v>30</v>
      </c>
      <c r="J324" t="s">
        <v>31</v>
      </c>
      <c r="K324" t="s">
        <v>32</v>
      </c>
      <c r="L324">
        <v>41978</v>
      </c>
      <c r="M324" t="s">
        <v>33</v>
      </c>
      <c r="N324" t="s">
        <v>78</v>
      </c>
      <c r="O324" t="s">
        <v>75</v>
      </c>
      <c r="P324" t="s">
        <v>76</v>
      </c>
      <c r="Q324" t="s">
        <v>77</v>
      </c>
      <c r="R324">
        <v>99999</v>
      </c>
      <c r="S324" t="s">
        <v>30</v>
      </c>
      <c r="T324" t="s">
        <v>79</v>
      </c>
      <c r="U324" t="s">
        <v>80</v>
      </c>
      <c r="V324" t="s">
        <v>81</v>
      </c>
      <c r="W324">
        <v>9.65</v>
      </c>
      <c r="X324">
        <v>96</v>
      </c>
      <c r="Y324" s="4">
        <v>926.40000000000009</v>
      </c>
      <c r="Z324" s="3">
        <v>94.492800000000017</v>
      </c>
    </row>
    <row r="325" spans="1:26" x14ac:dyDescent="0.35">
      <c r="A325">
        <v>1379</v>
      </c>
      <c r="B325" s="2">
        <v>41979</v>
      </c>
      <c r="C325">
        <v>6</v>
      </c>
      <c r="D325" t="s">
        <v>82</v>
      </c>
      <c r="E325" t="s">
        <v>83</v>
      </c>
      <c r="F325" t="s">
        <v>84</v>
      </c>
      <c r="G325" t="s">
        <v>85</v>
      </c>
      <c r="H325">
        <v>99999</v>
      </c>
      <c r="I325" t="s">
        <v>30</v>
      </c>
      <c r="J325" t="s">
        <v>86</v>
      </c>
      <c r="K325" t="s">
        <v>61</v>
      </c>
      <c r="L325">
        <v>41981</v>
      </c>
      <c r="M325" t="s">
        <v>33</v>
      </c>
      <c r="N325" t="s">
        <v>87</v>
      </c>
      <c r="O325" t="s">
        <v>83</v>
      </c>
      <c r="P325" t="s">
        <v>84</v>
      </c>
      <c r="Q325" t="s">
        <v>85</v>
      </c>
      <c r="R325">
        <v>99999</v>
      </c>
      <c r="S325" t="s">
        <v>30</v>
      </c>
      <c r="T325" t="s">
        <v>48</v>
      </c>
      <c r="U325" t="s">
        <v>88</v>
      </c>
      <c r="V325" t="s">
        <v>89</v>
      </c>
      <c r="W325">
        <v>40</v>
      </c>
      <c r="X325">
        <v>32</v>
      </c>
      <c r="Y325" s="4">
        <v>1280</v>
      </c>
      <c r="Z325" s="3">
        <v>134.4</v>
      </c>
    </row>
    <row r="326" spans="1:26" x14ac:dyDescent="0.35">
      <c r="A326">
        <v>1380</v>
      </c>
      <c r="B326" s="2">
        <v>42001</v>
      </c>
      <c r="C326">
        <v>28</v>
      </c>
      <c r="D326" t="s">
        <v>90</v>
      </c>
      <c r="E326" t="s">
        <v>91</v>
      </c>
      <c r="F326" t="s">
        <v>92</v>
      </c>
      <c r="G326" t="s">
        <v>93</v>
      </c>
      <c r="H326">
        <v>99999</v>
      </c>
      <c r="I326" t="s">
        <v>30</v>
      </c>
      <c r="J326" t="s">
        <v>94</v>
      </c>
      <c r="K326" t="s">
        <v>95</v>
      </c>
      <c r="L326" s="2">
        <v>42003</v>
      </c>
      <c r="M326" t="s">
        <v>62</v>
      </c>
      <c r="N326" t="s">
        <v>96</v>
      </c>
      <c r="O326" t="s">
        <v>91</v>
      </c>
      <c r="P326" t="s">
        <v>92</v>
      </c>
      <c r="Q326" t="s">
        <v>93</v>
      </c>
      <c r="R326">
        <v>99999</v>
      </c>
      <c r="S326" t="s">
        <v>30</v>
      </c>
      <c r="T326" t="s">
        <v>35</v>
      </c>
      <c r="U326" t="s">
        <v>55</v>
      </c>
      <c r="V326" t="s">
        <v>37</v>
      </c>
      <c r="W326">
        <v>46</v>
      </c>
      <c r="X326">
        <v>16</v>
      </c>
      <c r="Y326" s="4">
        <v>736</v>
      </c>
      <c r="Z326" s="3">
        <v>73.600000000000009</v>
      </c>
    </row>
    <row r="327" spans="1:26" x14ac:dyDescent="0.35">
      <c r="A327">
        <v>1381</v>
      </c>
      <c r="B327" s="2">
        <v>41981</v>
      </c>
      <c r="C327">
        <v>8</v>
      </c>
      <c r="D327" t="s">
        <v>56</v>
      </c>
      <c r="E327" t="s">
        <v>57</v>
      </c>
      <c r="F327" t="s">
        <v>58</v>
      </c>
      <c r="G327" t="s">
        <v>59</v>
      </c>
      <c r="H327">
        <v>99999</v>
      </c>
      <c r="I327" t="s">
        <v>30</v>
      </c>
      <c r="J327" t="s">
        <v>60</v>
      </c>
      <c r="K327" t="s">
        <v>61</v>
      </c>
      <c r="L327" s="2">
        <v>41983</v>
      </c>
      <c r="M327" t="s">
        <v>62</v>
      </c>
      <c r="N327" t="s">
        <v>63</v>
      </c>
      <c r="O327" t="s">
        <v>57</v>
      </c>
      <c r="P327" t="s">
        <v>58</v>
      </c>
      <c r="Q327" t="s">
        <v>59</v>
      </c>
      <c r="R327">
        <v>99999</v>
      </c>
      <c r="S327" t="s">
        <v>30</v>
      </c>
      <c r="T327" t="s">
        <v>35</v>
      </c>
      <c r="U327" t="s">
        <v>72</v>
      </c>
      <c r="V327" t="s">
        <v>73</v>
      </c>
      <c r="W327">
        <v>12.75</v>
      </c>
      <c r="X327">
        <v>41</v>
      </c>
      <c r="Y327" s="4">
        <v>522.75</v>
      </c>
      <c r="Z327" s="3">
        <v>51.229500000000002</v>
      </c>
    </row>
    <row r="328" spans="1:26" x14ac:dyDescent="0.35">
      <c r="A328">
        <v>1382</v>
      </c>
      <c r="B328" s="2">
        <v>41983</v>
      </c>
      <c r="C328">
        <v>10</v>
      </c>
      <c r="D328" t="s">
        <v>97</v>
      </c>
      <c r="E328" t="s">
        <v>98</v>
      </c>
      <c r="F328" t="s">
        <v>99</v>
      </c>
      <c r="G328" t="s">
        <v>100</v>
      </c>
      <c r="H328">
        <v>99999</v>
      </c>
      <c r="I328" t="s">
        <v>30</v>
      </c>
      <c r="J328" t="s">
        <v>101</v>
      </c>
      <c r="K328" t="s">
        <v>45</v>
      </c>
      <c r="L328" s="2">
        <v>41985</v>
      </c>
      <c r="M328" t="s">
        <v>33</v>
      </c>
      <c r="N328" t="s">
        <v>102</v>
      </c>
      <c r="O328" t="s">
        <v>98</v>
      </c>
      <c r="P328" t="s">
        <v>99</v>
      </c>
      <c r="Q328" t="s">
        <v>100</v>
      </c>
      <c r="R328">
        <v>99999</v>
      </c>
      <c r="S328" t="s">
        <v>30</v>
      </c>
      <c r="T328" t="s">
        <v>48</v>
      </c>
      <c r="U328" t="s">
        <v>103</v>
      </c>
      <c r="V328" t="s">
        <v>37</v>
      </c>
      <c r="W328">
        <v>2.99</v>
      </c>
      <c r="X328">
        <v>41</v>
      </c>
      <c r="Y328" s="4">
        <v>122.59</v>
      </c>
      <c r="Z328" s="3">
        <v>12.871950000000002</v>
      </c>
    </row>
    <row r="329" spans="1:26" x14ac:dyDescent="0.35">
      <c r="A329">
        <v>1383</v>
      </c>
      <c r="B329" s="2">
        <v>41980</v>
      </c>
      <c r="C329">
        <v>7</v>
      </c>
      <c r="D329" t="s">
        <v>104</v>
      </c>
      <c r="E329" t="s">
        <v>105</v>
      </c>
      <c r="F329" t="s">
        <v>106</v>
      </c>
      <c r="G329" t="s">
        <v>107</v>
      </c>
      <c r="H329">
        <v>99999</v>
      </c>
      <c r="I329" t="s">
        <v>30</v>
      </c>
      <c r="J329" t="s">
        <v>60</v>
      </c>
      <c r="K329" t="s">
        <v>61</v>
      </c>
      <c r="L329" s="2"/>
      <c r="N329" t="s">
        <v>108</v>
      </c>
      <c r="O329" t="s">
        <v>105</v>
      </c>
      <c r="P329" t="s">
        <v>106</v>
      </c>
      <c r="Q329" t="s">
        <v>107</v>
      </c>
      <c r="R329">
        <v>99999</v>
      </c>
      <c r="S329" t="s">
        <v>30</v>
      </c>
      <c r="U329" t="s">
        <v>55</v>
      </c>
      <c r="V329" t="s">
        <v>37</v>
      </c>
      <c r="W329">
        <v>46</v>
      </c>
      <c r="X329">
        <v>41</v>
      </c>
      <c r="Y329" s="4">
        <v>1886</v>
      </c>
      <c r="Z329" s="3">
        <v>194.25800000000004</v>
      </c>
    </row>
    <row r="330" spans="1:26" x14ac:dyDescent="0.35">
      <c r="A330">
        <v>1384</v>
      </c>
      <c r="B330" s="2">
        <v>41983</v>
      </c>
      <c r="C330">
        <v>10</v>
      </c>
      <c r="D330" t="s">
        <v>97</v>
      </c>
      <c r="E330" t="s">
        <v>98</v>
      </c>
      <c r="F330" t="s">
        <v>99</v>
      </c>
      <c r="G330" t="s">
        <v>100</v>
      </c>
      <c r="H330">
        <v>99999</v>
      </c>
      <c r="I330" t="s">
        <v>30</v>
      </c>
      <c r="J330" t="s">
        <v>101</v>
      </c>
      <c r="K330" t="s">
        <v>45</v>
      </c>
      <c r="L330" s="2">
        <v>41985</v>
      </c>
      <c r="M330" t="s">
        <v>46</v>
      </c>
      <c r="N330" t="s">
        <v>102</v>
      </c>
      <c r="O330" t="s">
        <v>98</v>
      </c>
      <c r="P330" t="s">
        <v>99</v>
      </c>
      <c r="Q330" t="s">
        <v>100</v>
      </c>
      <c r="R330">
        <v>99999</v>
      </c>
      <c r="S330" t="s">
        <v>30</v>
      </c>
      <c r="U330" t="s">
        <v>109</v>
      </c>
      <c r="V330" t="s">
        <v>110</v>
      </c>
      <c r="W330" s="3">
        <v>25</v>
      </c>
      <c r="X330">
        <v>94</v>
      </c>
      <c r="Y330" s="4">
        <v>2350</v>
      </c>
      <c r="Z330" s="3">
        <v>235</v>
      </c>
    </row>
    <row r="331" spans="1:26" x14ac:dyDescent="0.35">
      <c r="A331">
        <v>1385</v>
      </c>
      <c r="B331" s="2">
        <v>41983</v>
      </c>
      <c r="C331">
        <v>10</v>
      </c>
      <c r="D331" t="s">
        <v>97</v>
      </c>
      <c r="E331" t="s">
        <v>98</v>
      </c>
      <c r="F331" t="s">
        <v>99</v>
      </c>
      <c r="G331" t="s">
        <v>100</v>
      </c>
      <c r="H331">
        <v>99999</v>
      </c>
      <c r="I331" t="s">
        <v>30</v>
      </c>
      <c r="J331" t="s">
        <v>101</v>
      </c>
      <c r="K331" t="s">
        <v>45</v>
      </c>
      <c r="L331" s="2">
        <v>41985</v>
      </c>
      <c r="M331" t="s">
        <v>46</v>
      </c>
      <c r="N331" t="s">
        <v>102</v>
      </c>
      <c r="O331" t="s">
        <v>98</v>
      </c>
      <c r="P331" t="s">
        <v>99</v>
      </c>
      <c r="Q331" t="s">
        <v>100</v>
      </c>
      <c r="R331">
        <v>99999</v>
      </c>
      <c r="S331" t="s">
        <v>30</v>
      </c>
      <c r="U331" t="s">
        <v>111</v>
      </c>
      <c r="V331" t="s">
        <v>112</v>
      </c>
      <c r="W331" s="3">
        <v>22</v>
      </c>
      <c r="X331">
        <v>20</v>
      </c>
      <c r="Y331" s="4">
        <v>440</v>
      </c>
      <c r="Z331" s="3">
        <v>46.2</v>
      </c>
    </row>
    <row r="332" spans="1:26" x14ac:dyDescent="0.35">
      <c r="A332">
        <v>1386</v>
      </c>
      <c r="B332" s="2">
        <v>41983</v>
      </c>
      <c r="C332">
        <v>10</v>
      </c>
      <c r="D332" t="s">
        <v>97</v>
      </c>
      <c r="E332" t="s">
        <v>98</v>
      </c>
      <c r="F332" t="s">
        <v>99</v>
      </c>
      <c r="G332" t="s">
        <v>100</v>
      </c>
      <c r="H332">
        <v>99999</v>
      </c>
      <c r="I332" t="s">
        <v>30</v>
      </c>
      <c r="J332" t="s">
        <v>101</v>
      </c>
      <c r="K332" t="s">
        <v>45</v>
      </c>
      <c r="L332">
        <v>41985</v>
      </c>
      <c r="M332" t="s">
        <v>46</v>
      </c>
      <c r="N332" t="s">
        <v>102</v>
      </c>
      <c r="O332" t="s">
        <v>98</v>
      </c>
      <c r="P332" t="s">
        <v>99</v>
      </c>
      <c r="Q332" t="s">
        <v>100</v>
      </c>
      <c r="R332">
        <v>99999</v>
      </c>
      <c r="S332" t="s">
        <v>30</v>
      </c>
      <c r="U332" t="s">
        <v>64</v>
      </c>
      <c r="V332" t="s">
        <v>65</v>
      </c>
      <c r="W332" s="3">
        <v>9.1999999999999993</v>
      </c>
      <c r="X332">
        <v>13</v>
      </c>
      <c r="Y332" s="4">
        <v>119.6</v>
      </c>
      <c r="Z332" s="3">
        <v>12.438400000000001</v>
      </c>
    </row>
    <row r="333" spans="1:26" x14ac:dyDescent="0.35">
      <c r="A333">
        <v>1387</v>
      </c>
      <c r="B333" s="2">
        <v>41984</v>
      </c>
      <c r="C333">
        <v>11</v>
      </c>
      <c r="D333" t="s">
        <v>113</v>
      </c>
      <c r="E333" t="s">
        <v>114</v>
      </c>
      <c r="F333" t="s">
        <v>115</v>
      </c>
      <c r="G333" t="s">
        <v>116</v>
      </c>
      <c r="H333">
        <v>99999</v>
      </c>
      <c r="I333" t="s">
        <v>30</v>
      </c>
      <c r="J333" t="s">
        <v>94</v>
      </c>
      <c r="K333" t="s">
        <v>95</v>
      </c>
      <c r="M333" t="s">
        <v>62</v>
      </c>
      <c r="N333" t="s">
        <v>117</v>
      </c>
      <c r="O333" t="s">
        <v>114</v>
      </c>
      <c r="P333" t="s">
        <v>115</v>
      </c>
      <c r="Q333" t="s">
        <v>116</v>
      </c>
      <c r="R333">
        <v>99999</v>
      </c>
      <c r="S333" t="s">
        <v>30</v>
      </c>
      <c r="U333" t="s">
        <v>38</v>
      </c>
      <c r="V333" t="s">
        <v>39</v>
      </c>
      <c r="W333" s="3">
        <v>3.5</v>
      </c>
      <c r="X333">
        <v>74</v>
      </c>
      <c r="Y333" s="4">
        <v>259</v>
      </c>
      <c r="Z333" s="3">
        <v>26.936000000000003</v>
      </c>
    </row>
    <row r="334" spans="1:26" x14ac:dyDescent="0.35">
      <c r="A334">
        <v>1388</v>
      </c>
      <c r="B334" s="2">
        <v>41984</v>
      </c>
      <c r="C334">
        <v>11</v>
      </c>
      <c r="D334" t="s">
        <v>113</v>
      </c>
      <c r="E334" t="s">
        <v>114</v>
      </c>
      <c r="F334" t="s">
        <v>115</v>
      </c>
      <c r="G334" t="s">
        <v>116</v>
      </c>
      <c r="H334">
        <v>99999</v>
      </c>
      <c r="I334" t="s">
        <v>30</v>
      </c>
      <c r="J334" t="s">
        <v>94</v>
      </c>
      <c r="K334" t="s">
        <v>95</v>
      </c>
      <c r="M334" t="s">
        <v>62</v>
      </c>
      <c r="N334" t="s">
        <v>117</v>
      </c>
      <c r="O334" t="s">
        <v>114</v>
      </c>
      <c r="P334" t="s">
        <v>115</v>
      </c>
      <c r="Q334" t="s">
        <v>116</v>
      </c>
      <c r="R334">
        <v>99999</v>
      </c>
      <c r="S334" t="s">
        <v>30</v>
      </c>
      <c r="U334" t="s">
        <v>103</v>
      </c>
      <c r="V334" t="s">
        <v>37</v>
      </c>
      <c r="W334" s="3">
        <v>2.99</v>
      </c>
      <c r="X334">
        <v>53</v>
      </c>
      <c r="Y334" s="4">
        <v>158.47</v>
      </c>
      <c r="Z334" s="3">
        <v>16.005470000000003</v>
      </c>
    </row>
    <row r="335" spans="1:26" x14ac:dyDescent="0.35">
      <c r="A335">
        <v>1389</v>
      </c>
      <c r="B335" s="2">
        <v>41974</v>
      </c>
      <c r="C335">
        <v>1</v>
      </c>
      <c r="D335" t="s">
        <v>118</v>
      </c>
      <c r="E335" t="s">
        <v>119</v>
      </c>
      <c r="F335" t="s">
        <v>120</v>
      </c>
      <c r="G335" t="s">
        <v>121</v>
      </c>
      <c r="H335">
        <v>99999</v>
      </c>
      <c r="I335" t="s">
        <v>30</v>
      </c>
      <c r="J335" t="s">
        <v>60</v>
      </c>
      <c r="K335" t="s">
        <v>61</v>
      </c>
      <c r="N335" t="s">
        <v>122</v>
      </c>
      <c r="O335" t="s">
        <v>119</v>
      </c>
      <c r="P335" t="s">
        <v>120</v>
      </c>
      <c r="Q335" t="s">
        <v>121</v>
      </c>
      <c r="R335">
        <v>99999</v>
      </c>
      <c r="S335" t="s">
        <v>30</v>
      </c>
      <c r="U335" t="s">
        <v>54</v>
      </c>
      <c r="V335" t="s">
        <v>37</v>
      </c>
      <c r="W335" s="3">
        <v>18</v>
      </c>
      <c r="X335">
        <v>99</v>
      </c>
      <c r="Y335" s="4">
        <v>1782</v>
      </c>
      <c r="Z335" s="3">
        <v>174.63600000000002</v>
      </c>
    </row>
    <row r="336" spans="1:26" x14ac:dyDescent="0.35">
      <c r="A336">
        <v>1390</v>
      </c>
      <c r="B336" s="2">
        <v>41974</v>
      </c>
      <c r="C336">
        <v>1</v>
      </c>
      <c r="D336" t="s">
        <v>118</v>
      </c>
      <c r="E336" t="s">
        <v>119</v>
      </c>
      <c r="F336" t="s">
        <v>120</v>
      </c>
      <c r="G336" t="s">
        <v>121</v>
      </c>
      <c r="H336">
        <v>99999</v>
      </c>
      <c r="I336" t="s">
        <v>30</v>
      </c>
      <c r="J336" t="s">
        <v>60</v>
      </c>
      <c r="K336" t="s">
        <v>61</v>
      </c>
      <c r="N336" t="s">
        <v>122</v>
      </c>
      <c r="O336" t="s">
        <v>119</v>
      </c>
      <c r="P336" t="s">
        <v>120</v>
      </c>
      <c r="Q336" t="s">
        <v>121</v>
      </c>
      <c r="R336">
        <v>99999</v>
      </c>
      <c r="S336" t="s">
        <v>30</v>
      </c>
      <c r="U336" t="s">
        <v>55</v>
      </c>
      <c r="V336" t="s">
        <v>37</v>
      </c>
      <c r="W336" s="3">
        <v>46</v>
      </c>
      <c r="X336">
        <v>89</v>
      </c>
      <c r="Y336" s="4">
        <v>4094</v>
      </c>
      <c r="Z336" s="3">
        <v>388.93</v>
      </c>
    </row>
    <row r="337" spans="1:26" x14ac:dyDescent="0.35">
      <c r="A337">
        <v>1391</v>
      </c>
      <c r="B337" s="2">
        <v>41974</v>
      </c>
      <c r="C337">
        <v>1</v>
      </c>
      <c r="D337" t="s">
        <v>118</v>
      </c>
      <c r="E337" t="s">
        <v>119</v>
      </c>
      <c r="F337" t="s">
        <v>120</v>
      </c>
      <c r="G337" t="s">
        <v>121</v>
      </c>
      <c r="H337">
        <v>99999</v>
      </c>
      <c r="I337" t="s">
        <v>30</v>
      </c>
      <c r="J337" t="s">
        <v>60</v>
      </c>
      <c r="K337" t="s">
        <v>61</v>
      </c>
      <c r="L337" s="2"/>
      <c r="N337" t="s">
        <v>122</v>
      </c>
      <c r="O337" t="s">
        <v>119</v>
      </c>
      <c r="P337" t="s">
        <v>120</v>
      </c>
      <c r="Q337" t="s">
        <v>121</v>
      </c>
      <c r="R337">
        <v>99999</v>
      </c>
      <c r="S337" t="s">
        <v>30</v>
      </c>
      <c r="U337" t="s">
        <v>103</v>
      </c>
      <c r="V337" t="s">
        <v>37</v>
      </c>
      <c r="W337" s="3">
        <v>2.99</v>
      </c>
      <c r="X337">
        <v>64</v>
      </c>
      <c r="Y337" s="4">
        <v>191.36</v>
      </c>
      <c r="Z337" s="3">
        <v>19.518720000000002</v>
      </c>
    </row>
    <row r="338" spans="1:26" x14ac:dyDescent="0.35">
      <c r="A338">
        <v>1392</v>
      </c>
      <c r="B338" s="2">
        <v>42001</v>
      </c>
      <c r="C338">
        <v>28</v>
      </c>
      <c r="D338" t="s">
        <v>90</v>
      </c>
      <c r="E338" t="s">
        <v>91</v>
      </c>
      <c r="F338" t="s">
        <v>92</v>
      </c>
      <c r="G338" t="s">
        <v>93</v>
      </c>
      <c r="H338">
        <v>99999</v>
      </c>
      <c r="I338" t="s">
        <v>30</v>
      </c>
      <c r="J338" t="s">
        <v>94</v>
      </c>
      <c r="K338" t="s">
        <v>95</v>
      </c>
      <c r="L338" s="2">
        <v>42003</v>
      </c>
      <c r="M338" t="s">
        <v>62</v>
      </c>
      <c r="N338" t="s">
        <v>96</v>
      </c>
      <c r="O338" t="s">
        <v>91</v>
      </c>
      <c r="P338" t="s">
        <v>92</v>
      </c>
      <c r="Q338" t="s">
        <v>93</v>
      </c>
      <c r="R338">
        <v>99999</v>
      </c>
      <c r="S338" t="s">
        <v>30</v>
      </c>
      <c r="T338" t="s">
        <v>48</v>
      </c>
      <c r="U338" t="s">
        <v>80</v>
      </c>
      <c r="V338" t="s">
        <v>81</v>
      </c>
      <c r="W338" s="3">
        <v>9.65</v>
      </c>
      <c r="X338">
        <v>98</v>
      </c>
      <c r="Y338" s="4">
        <v>945.7</v>
      </c>
      <c r="Z338" s="3">
        <v>96.461400000000012</v>
      </c>
    </row>
    <row r="339" spans="1:26" x14ac:dyDescent="0.35">
      <c r="A339">
        <v>1393</v>
      </c>
      <c r="B339" s="2">
        <v>42001</v>
      </c>
      <c r="C339">
        <v>28</v>
      </c>
      <c r="D339" t="s">
        <v>90</v>
      </c>
      <c r="E339" t="s">
        <v>91</v>
      </c>
      <c r="F339" t="s">
        <v>92</v>
      </c>
      <c r="G339" t="s">
        <v>93</v>
      </c>
      <c r="H339">
        <v>99999</v>
      </c>
      <c r="I339" t="s">
        <v>30</v>
      </c>
      <c r="J339" t="s">
        <v>94</v>
      </c>
      <c r="K339" t="s">
        <v>95</v>
      </c>
      <c r="L339" s="2">
        <v>42003</v>
      </c>
      <c r="M339" t="s">
        <v>62</v>
      </c>
      <c r="N339" t="s">
        <v>96</v>
      </c>
      <c r="O339" t="s">
        <v>91</v>
      </c>
      <c r="P339" t="s">
        <v>92</v>
      </c>
      <c r="Q339" t="s">
        <v>93</v>
      </c>
      <c r="R339">
        <v>99999</v>
      </c>
      <c r="S339" t="s">
        <v>30</v>
      </c>
      <c r="T339" t="s">
        <v>48</v>
      </c>
      <c r="U339" t="s">
        <v>123</v>
      </c>
      <c r="V339" t="s">
        <v>124</v>
      </c>
      <c r="W339" s="3">
        <v>18.399999999999999</v>
      </c>
      <c r="X339">
        <v>86</v>
      </c>
      <c r="Y339" s="4">
        <v>1582.3999999999999</v>
      </c>
      <c r="Z339" s="3">
        <v>155.0752</v>
      </c>
    </row>
    <row r="340" spans="1:26" x14ac:dyDescent="0.35">
      <c r="A340">
        <v>1394</v>
      </c>
      <c r="B340" s="2">
        <v>41982</v>
      </c>
      <c r="C340">
        <v>9</v>
      </c>
      <c r="D340" t="s">
        <v>125</v>
      </c>
      <c r="E340" t="s">
        <v>126</v>
      </c>
      <c r="F340" t="s">
        <v>127</v>
      </c>
      <c r="G340" t="s">
        <v>128</v>
      </c>
      <c r="H340">
        <v>99999</v>
      </c>
      <c r="I340" t="s">
        <v>30</v>
      </c>
      <c r="J340" t="s">
        <v>129</v>
      </c>
      <c r="K340" t="s">
        <v>32</v>
      </c>
      <c r="L340" s="2">
        <v>41984</v>
      </c>
      <c r="M340" t="s">
        <v>46</v>
      </c>
      <c r="N340" t="s">
        <v>130</v>
      </c>
      <c r="O340" t="s">
        <v>126</v>
      </c>
      <c r="P340" t="s">
        <v>127</v>
      </c>
      <c r="Q340" t="s">
        <v>128</v>
      </c>
      <c r="R340">
        <v>99999</v>
      </c>
      <c r="S340" t="s">
        <v>30</v>
      </c>
      <c r="T340" t="s">
        <v>35</v>
      </c>
      <c r="U340" t="s">
        <v>131</v>
      </c>
      <c r="V340" t="s">
        <v>132</v>
      </c>
      <c r="W340" s="3">
        <v>19.5</v>
      </c>
      <c r="X340">
        <v>20</v>
      </c>
      <c r="Y340" s="4">
        <v>390</v>
      </c>
      <c r="Z340" s="3">
        <v>40.950000000000003</v>
      </c>
    </row>
    <row r="341" spans="1:26" x14ac:dyDescent="0.35">
      <c r="A341">
        <v>1395</v>
      </c>
      <c r="B341" s="2">
        <v>41982</v>
      </c>
      <c r="C341">
        <v>9</v>
      </c>
      <c r="D341" t="s">
        <v>125</v>
      </c>
      <c r="E341" t="s">
        <v>126</v>
      </c>
      <c r="F341" t="s">
        <v>127</v>
      </c>
      <c r="G341" t="s">
        <v>128</v>
      </c>
      <c r="H341">
        <v>99999</v>
      </c>
      <c r="I341" t="s">
        <v>30</v>
      </c>
      <c r="J341" t="s">
        <v>129</v>
      </c>
      <c r="K341" t="s">
        <v>32</v>
      </c>
      <c r="L341" s="2">
        <v>41984</v>
      </c>
      <c r="M341" t="s">
        <v>46</v>
      </c>
      <c r="N341" t="s">
        <v>130</v>
      </c>
      <c r="O341" t="s">
        <v>126</v>
      </c>
      <c r="P341" t="s">
        <v>127</v>
      </c>
      <c r="Q341" t="s">
        <v>128</v>
      </c>
      <c r="R341">
        <v>99999</v>
      </c>
      <c r="S341" t="s">
        <v>30</v>
      </c>
      <c r="T341" t="s">
        <v>35</v>
      </c>
      <c r="U341" t="s">
        <v>133</v>
      </c>
      <c r="V341" t="s">
        <v>134</v>
      </c>
      <c r="W341" s="3">
        <v>34.799999999999997</v>
      </c>
      <c r="X341">
        <v>69</v>
      </c>
      <c r="Y341" s="4">
        <v>2401.1999999999998</v>
      </c>
      <c r="Z341" s="3">
        <v>240.12</v>
      </c>
    </row>
    <row r="342" spans="1:26" x14ac:dyDescent="0.35">
      <c r="A342">
        <v>1396</v>
      </c>
      <c r="B342" s="2">
        <v>41979</v>
      </c>
      <c r="C342">
        <v>6</v>
      </c>
      <c r="D342" t="s">
        <v>82</v>
      </c>
      <c r="E342" t="s">
        <v>83</v>
      </c>
      <c r="F342" t="s">
        <v>84</v>
      </c>
      <c r="G342" t="s">
        <v>85</v>
      </c>
      <c r="H342">
        <v>99999</v>
      </c>
      <c r="I342" t="s">
        <v>30</v>
      </c>
      <c r="J342" t="s">
        <v>86</v>
      </c>
      <c r="K342" t="s">
        <v>61</v>
      </c>
      <c r="L342" s="2">
        <v>41981</v>
      </c>
      <c r="M342" t="s">
        <v>33</v>
      </c>
      <c r="N342" t="s">
        <v>87</v>
      </c>
      <c r="O342" t="s">
        <v>83</v>
      </c>
      <c r="P342" t="s">
        <v>84</v>
      </c>
      <c r="Q342" t="s">
        <v>85</v>
      </c>
      <c r="R342">
        <v>99999</v>
      </c>
      <c r="S342" t="s">
        <v>30</v>
      </c>
      <c r="T342" t="s">
        <v>48</v>
      </c>
      <c r="U342" t="s">
        <v>36</v>
      </c>
      <c r="V342" t="s">
        <v>37</v>
      </c>
      <c r="W342" s="3">
        <v>14</v>
      </c>
      <c r="X342">
        <v>68</v>
      </c>
      <c r="Y342" s="4">
        <v>952</v>
      </c>
      <c r="Z342" s="3">
        <v>91.391999999999996</v>
      </c>
    </row>
    <row r="343" spans="1:26" x14ac:dyDescent="0.35">
      <c r="A343">
        <v>1397</v>
      </c>
      <c r="B343" s="2">
        <v>41981</v>
      </c>
      <c r="C343">
        <v>8</v>
      </c>
      <c r="D343" t="s">
        <v>56</v>
      </c>
      <c r="E343" t="s">
        <v>57</v>
      </c>
      <c r="F343" t="s">
        <v>58</v>
      </c>
      <c r="G343" t="s">
        <v>59</v>
      </c>
      <c r="H343">
        <v>99999</v>
      </c>
      <c r="I343" t="s">
        <v>30</v>
      </c>
      <c r="J343" t="s">
        <v>60</v>
      </c>
      <c r="K343" t="s">
        <v>61</v>
      </c>
      <c r="L343" s="2">
        <v>41983</v>
      </c>
      <c r="M343" t="s">
        <v>33</v>
      </c>
      <c r="N343" t="s">
        <v>63</v>
      </c>
      <c r="O343" t="s">
        <v>57</v>
      </c>
      <c r="P343" t="s">
        <v>58</v>
      </c>
      <c r="Q343" t="s">
        <v>59</v>
      </c>
      <c r="R343">
        <v>99999</v>
      </c>
      <c r="S343" t="s">
        <v>30</v>
      </c>
      <c r="T343" t="s">
        <v>35</v>
      </c>
      <c r="U343" t="s">
        <v>88</v>
      </c>
      <c r="V343" t="s">
        <v>89</v>
      </c>
      <c r="W343" s="3">
        <v>40</v>
      </c>
      <c r="X343">
        <v>52</v>
      </c>
      <c r="Y343" s="4">
        <v>2080</v>
      </c>
      <c r="Z343" s="3">
        <v>203.84</v>
      </c>
    </row>
    <row r="344" spans="1:26" x14ac:dyDescent="0.35">
      <c r="A344">
        <v>1398</v>
      </c>
      <c r="B344" s="2">
        <v>41981</v>
      </c>
      <c r="C344">
        <v>8</v>
      </c>
      <c r="D344" t="s">
        <v>56</v>
      </c>
      <c r="E344" t="s">
        <v>57</v>
      </c>
      <c r="F344" t="s">
        <v>58</v>
      </c>
      <c r="G344" t="s">
        <v>59</v>
      </c>
      <c r="H344">
        <v>99999</v>
      </c>
      <c r="I344" t="s">
        <v>30</v>
      </c>
      <c r="J344" t="s">
        <v>60</v>
      </c>
      <c r="K344" t="s">
        <v>61</v>
      </c>
      <c r="L344" s="2">
        <v>41983</v>
      </c>
      <c r="M344" t="s">
        <v>33</v>
      </c>
      <c r="N344" t="s">
        <v>63</v>
      </c>
      <c r="O344" t="s">
        <v>57</v>
      </c>
      <c r="P344" t="s">
        <v>58</v>
      </c>
      <c r="Q344" t="s">
        <v>59</v>
      </c>
      <c r="R344">
        <v>99999</v>
      </c>
      <c r="S344" t="s">
        <v>30</v>
      </c>
      <c r="T344" t="s">
        <v>35</v>
      </c>
      <c r="U344" t="s">
        <v>64</v>
      </c>
      <c r="V344" t="s">
        <v>65</v>
      </c>
      <c r="W344" s="3">
        <v>9.1999999999999993</v>
      </c>
      <c r="X344">
        <v>40</v>
      </c>
      <c r="Y344" s="4">
        <v>368</v>
      </c>
      <c r="Z344" s="3">
        <v>38.640000000000008</v>
      </c>
    </row>
    <row r="345" spans="1:26" x14ac:dyDescent="0.35">
      <c r="A345">
        <v>1399</v>
      </c>
      <c r="B345" s="2">
        <v>41998</v>
      </c>
      <c r="C345">
        <v>25</v>
      </c>
      <c r="D345" t="s">
        <v>137</v>
      </c>
      <c r="E345" t="s">
        <v>138</v>
      </c>
      <c r="F345" t="s">
        <v>99</v>
      </c>
      <c r="G345" t="s">
        <v>100</v>
      </c>
      <c r="H345">
        <v>99999</v>
      </c>
      <c r="I345" t="s">
        <v>30</v>
      </c>
      <c r="J345" t="s">
        <v>101</v>
      </c>
      <c r="K345" t="s">
        <v>45</v>
      </c>
      <c r="L345" s="2">
        <v>42000</v>
      </c>
      <c r="M345" t="s">
        <v>46</v>
      </c>
      <c r="N345" t="s">
        <v>139</v>
      </c>
      <c r="O345" t="s">
        <v>138</v>
      </c>
      <c r="P345" t="s">
        <v>99</v>
      </c>
      <c r="Q345" t="s">
        <v>100</v>
      </c>
      <c r="R345">
        <v>99999</v>
      </c>
      <c r="S345" t="s">
        <v>30</v>
      </c>
      <c r="T345" t="s">
        <v>79</v>
      </c>
      <c r="U345" t="s">
        <v>146</v>
      </c>
      <c r="V345" t="s">
        <v>65</v>
      </c>
      <c r="W345" s="3">
        <v>10</v>
      </c>
      <c r="X345">
        <v>100</v>
      </c>
      <c r="Y345" s="4">
        <v>1000</v>
      </c>
      <c r="Z345" s="3">
        <v>98</v>
      </c>
    </row>
    <row r="346" spans="1:26" x14ac:dyDescent="0.35">
      <c r="A346">
        <v>1400</v>
      </c>
      <c r="B346" s="2">
        <v>41999</v>
      </c>
      <c r="C346">
        <v>26</v>
      </c>
      <c r="D346" t="s">
        <v>140</v>
      </c>
      <c r="E346" t="s">
        <v>141</v>
      </c>
      <c r="F346" t="s">
        <v>115</v>
      </c>
      <c r="G346" t="s">
        <v>116</v>
      </c>
      <c r="H346">
        <v>99999</v>
      </c>
      <c r="I346" t="s">
        <v>30</v>
      </c>
      <c r="J346" t="s">
        <v>94</v>
      </c>
      <c r="K346" t="s">
        <v>95</v>
      </c>
      <c r="L346" s="2">
        <v>42001</v>
      </c>
      <c r="M346" t="s">
        <v>62</v>
      </c>
      <c r="N346" t="s">
        <v>142</v>
      </c>
      <c r="O346" t="s">
        <v>141</v>
      </c>
      <c r="P346" t="s">
        <v>115</v>
      </c>
      <c r="Q346" t="s">
        <v>116</v>
      </c>
      <c r="R346">
        <v>99999</v>
      </c>
      <c r="S346" t="s">
        <v>30</v>
      </c>
      <c r="T346" t="s">
        <v>48</v>
      </c>
      <c r="U346" t="s">
        <v>147</v>
      </c>
      <c r="V346" t="s">
        <v>148</v>
      </c>
      <c r="W346" s="3">
        <v>21.35</v>
      </c>
      <c r="X346">
        <v>88</v>
      </c>
      <c r="Y346" s="4">
        <v>1878.8000000000002</v>
      </c>
      <c r="Z346" s="3">
        <v>184.12240000000003</v>
      </c>
    </row>
    <row r="347" spans="1:26" x14ac:dyDescent="0.35">
      <c r="A347">
        <v>1401</v>
      </c>
      <c r="B347" s="2">
        <v>41999</v>
      </c>
      <c r="C347">
        <v>26</v>
      </c>
      <c r="D347" t="s">
        <v>140</v>
      </c>
      <c r="E347" t="s">
        <v>141</v>
      </c>
      <c r="F347" t="s">
        <v>115</v>
      </c>
      <c r="G347" t="s">
        <v>116</v>
      </c>
      <c r="H347">
        <v>99999</v>
      </c>
      <c r="I347" t="s">
        <v>30</v>
      </c>
      <c r="J347" t="s">
        <v>94</v>
      </c>
      <c r="K347" t="s">
        <v>95</v>
      </c>
      <c r="L347" s="2">
        <v>42001</v>
      </c>
      <c r="M347" t="s">
        <v>62</v>
      </c>
      <c r="N347" t="s">
        <v>142</v>
      </c>
      <c r="O347" t="s">
        <v>141</v>
      </c>
      <c r="P347" t="s">
        <v>115</v>
      </c>
      <c r="Q347" t="s">
        <v>116</v>
      </c>
      <c r="R347">
        <v>99999</v>
      </c>
      <c r="S347" t="s">
        <v>30</v>
      </c>
      <c r="T347" t="s">
        <v>48</v>
      </c>
      <c r="U347" t="s">
        <v>80</v>
      </c>
      <c r="V347" t="s">
        <v>81</v>
      </c>
      <c r="W347" s="3">
        <v>9.65</v>
      </c>
      <c r="X347">
        <v>46</v>
      </c>
      <c r="Y347" s="4">
        <v>443.90000000000003</v>
      </c>
      <c r="Z347" s="3">
        <v>42.614400000000003</v>
      </c>
    </row>
    <row r="348" spans="1:26" x14ac:dyDescent="0.35">
      <c r="A348">
        <v>1402</v>
      </c>
      <c r="B348" s="2">
        <v>41999</v>
      </c>
      <c r="C348">
        <v>26</v>
      </c>
      <c r="D348" t="s">
        <v>140</v>
      </c>
      <c r="E348" t="s">
        <v>141</v>
      </c>
      <c r="F348" t="s">
        <v>115</v>
      </c>
      <c r="G348" t="s">
        <v>116</v>
      </c>
      <c r="H348">
        <v>99999</v>
      </c>
      <c r="I348" t="s">
        <v>30</v>
      </c>
      <c r="J348" t="s">
        <v>94</v>
      </c>
      <c r="K348" t="s">
        <v>95</v>
      </c>
      <c r="L348" s="2">
        <v>42001</v>
      </c>
      <c r="M348" t="s">
        <v>62</v>
      </c>
      <c r="N348" t="s">
        <v>142</v>
      </c>
      <c r="O348" t="s">
        <v>141</v>
      </c>
      <c r="P348" t="s">
        <v>115</v>
      </c>
      <c r="Q348" t="s">
        <v>116</v>
      </c>
      <c r="R348">
        <v>99999</v>
      </c>
      <c r="S348" t="s">
        <v>30</v>
      </c>
      <c r="T348" t="s">
        <v>48</v>
      </c>
      <c r="U348" t="s">
        <v>123</v>
      </c>
      <c r="V348" t="s">
        <v>124</v>
      </c>
      <c r="W348" s="3">
        <v>18.399999999999999</v>
      </c>
      <c r="X348">
        <v>93</v>
      </c>
      <c r="Y348" s="4">
        <v>1711.1999999999998</v>
      </c>
      <c r="Z348" s="3">
        <v>167.69759999999999</v>
      </c>
    </row>
    <row r="349" spans="1:26" x14ac:dyDescent="0.35">
      <c r="A349">
        <v>1403</v>
      </c>
      <c r="B349" s="2">
        <v>42002</v>
      </c>
      <c r="C349">
        <v>29</v>
      </c>
      <c r="D349" t="s">
        <v>66</v>
      </c>
      <c r="E349" t="s">
        <v>67</v>
      </c>
      <c r="F349" t="s">
        <v>68</v>
      </c>
      <c r="G349" t="s">
        <v>69</v>
      </c>
      <c r="H349">
        <v>99999</v>
      </c>
      <c r="I349" t="s">
        <v>30</v>
      </c>
      <c r="J349" t="s">
        <v>70</v>
      </c>
      <c r="K349" t="s">
        <v>32</v>
      </c>
      <c r="L349" s="2">
        <v>42004</v>
      </c>
      <c r="M349" t="s">
        <v>33</v>
      </c>
      <c r="N349" t="s">
        <v>71</v>
      </c>
      <c r="O349" t="s">
        <v>67</v>
      </c>
      <c r="P349" t="s">
        <v>68</v>
      </c>
      <c r="Q349" t="s">
        <v>69</v>
      </c>
      <c r="R349">
        <v>99999</v>
      </c>
      <c r="S349" t="s">
        <v>30</v>
      </c>
      <c r="T349" t="s">
        <v>35</v>
      </c>
      <c r="U349" t="s">
        <v>36</v>
      </c>
      <c r="V349" t="s">
        <v>37</v>
      </c>
      <c r="W349" s="3">
        <v>14</v>
      </c>
      <c r="X349">
        <v>96</v>
      </c>
      <c r="Y349" s="4">
        <v>1344</v>
      </c>
      <c r="Z349" s="3">
        <v>141.12</v>
      </c>
    </row>
    <row r="350" spans="1:26" x14ac:dyDescent="0.35">
      <c r="A350">
        <v>1404</v>
      </c>
      <c r="B350" s="2">
        <v>41979</v>
      </c>
      <c r="C350">
        <v>6</v>
      </c>
      <c r="D350" t="s">
        <v>82</v>
      </c>
      <c r="E350" t="s">
        <v>83</v>
      </c>
      <c r="F350" t="s">
        <v>84</v>
      </c>
      <c r="G350" t="s">
        <v>85</v>
      </c>
      <c r="H350">
        <v>99999</v>
      </c>
      <c r="I350" t="s">
        <v>30</v>
      </c>
      <c r="J350" t="s">
        <v>86</v>
      </c>
      <c r="K350" t="s">
        <v>61</v>
      </c>
      <c r="L350" s="2">
        <v>41981</v>
      </c>
      <c r="M350" t="s">
        <v>62</v>
      </c>
      <c r="N350" t="s">
        <v>87</v>
      </c>
      <c r="O350" t="s">
        <v>83</v>
      </c>
      <c r="P350" t="s">
        <v>84</v>
      </c>
      <c r="Q350" t="s">
        <v>85</v>
      </c>
      <c r="R350">
        <v>99999</v>
      </c>
      <c r="S350" t="s">
        <v>30</v>
      </c>
      <c r="T350" t="s">
        <v>35</v>
      </c>
      <c r="U350" t="s">
        <v>72</v>
      </c>
      <c r="V350" t="s">
        <v>73</v>
      </c>
      <c r="W350">
        <v>12.75</v>
      </c>
      <c r="X350">
        <v>12</v>
      </c>
      <c r="Y350" s="4">
        <v>153</v>
      </c>
      <c r="Z350" s="3">
        <v>16.065000000000001</v>
      </c>
    </row>
    <row r="351" spans="1:26" x14ac:dyDescent="0.35">
      <c r="A351">
        <v>1406</v>
      </c>
      <c r="B351" s="2">
        <v>41977</v>
      </c>
      <c r="C351">
        <v>4</v>
      </c>
      <c r="D351" t="s">
        <v>40</v>
      </c>
      <c r="E351" t="s">
        <v>41</v>
      </c>
      <c r="F351" t="s">
        <v>42</v>
      </c>
      <c r="G351" t="s">
        <v>43</v>
      </c>
      <c r="H351">
        <v>99999</v>
      </c>
      <c r="I351" t="s">
        <v>30</v>
      </c>
      <c r="J351" t="s">
        <v>44</v>
      </c>
      <c r="K351" t="s">
        <v>45</v>
      </c>
      <c r="L351" s="2">
        <v>41979</v>
      </c>
      <c r="M351" t="s">
        <v>46</v>
      </c>
      <c r="N351" t="s">
        <v>47</v>
      </c>
      <c r="O351" t="s">
        <v>41</v>
      </c>
      <c r="P351" t="s">
        <v>42</v>
      </c>
      <c r="Q351" t="s">
        <v>43</v>
      </c>
      <c r="R351">
        <v>99999</v>
      </c>
      <c r="S351" t="s">
        <v>30</v>
      </c>
      <c r="T351" t="s">
        <v>48</v>
      </c>
      <c r="U351" t="s">
        <v>149</v>
      </c>
      <c r="V351" t="s">
        <v>110</v>
      </c>
      <c r="W351">
        <v>81</v>
      </c>
      <c r="X351">
        <v>38</v>
      </c>
      <c r="Y351" s="4">
        <v>3078</v>
      </c>
      <c r="Z351" s="3">
        <v>292.41000000000003</v>
      </c>
    </row>
    <row r="352" spans="1:26" x14ac:dyDescent="0.35">
      <c r="A352">
        <v>1407</v>
      </c>
      <c r="B352" s="2">
        <v>41977</v>
      </c>
      <c r="C352">
        <v>4</v>
      </c>
      <c r="D352" t="s">
        <v>40</v>
      </c>
      <c r="E352" t="s">
        <v>41</v>
      </c>
      <c r="F352" t="s">
        <v>42</v>
      </c>
      <c r="G352" t="s">
        <v>43</v>
      </c>
      <c r="H352">
        <v>99999</v>
      </c>
      <c r="I352" t="s">
        <v>30</v>
      </c>
      <c r="J352" t="s">
        <v>44</v>
      </c>
      <c r="K352" t="s">
        <v>45</v>
      </c>
      <c r="L352" s="2">
        <v>41979</v>
      </c>
      <c r="M352" t="s">
        <v>46</v>
      </c>
      <c r="N352" t="s">
        <v>47</v>
      </c>
      <c r="O352" t="s">
        <v>41</v>
      </c>
      <c r="P352" t="s">
        <v>42</v>
      </c>
      <c r="Q352" t="s">
        <v>43</v>
      </c>
      <c r="R352">
        <v>99999</v>
      </c>
      <c r="S352" t="s">
        <v>30</v>
      </c>
      <c r="T352" t="s">
        <v>48</v>
      </c>
      <c r="U352" t="s">
        <v>150</v>
      </c>
      <c r="V352" t="s">
        <v>151</v>
      </c>
      <c r="W352">
        <v>7</v>
      </c>
      <c r="X352">
        <v>42</v>
      </c>
      <c r="Y352" s="4">
        <v>294</v>
      </c>
      <c r="Z352" s="3">
        <v>29.106000000000002</v>
      </c>
    </row>
    <row r="353" spans="1:26" x14ac:dyDescent="0.35">
      <c r="A353">
        <v>1409</v>
      </c>
      <c r="B353" s="2">
        <v>41981</v>
      </c>
      <c r="C353">
        <v>8</v>
      </c>
      <c r="D353" t="s">
        <v>56</v>
      </c>
      <c r="E353" t="s">
        <v>57</v>
      </c>
      <c r="F353" t="s">
        <v>58</v>
      </c>
      <c r="G353" t="s">
        <v>59</v>
      </c>
      <c r="H353">
        <v>99999</v>
      </c>
      <c r="I353" t="s">
        <v>30</v>
      </c>
      <c r="J353" t="s">
        <v>60</v>
      </c>
      <c r="K353" t="s">
        <v>61</v>
      </c>
      <c r="L353" s="2">
        <v>41983</v>
      </c>
      <c r="M353" t="s">
        <v>62</v>
      </c>
      <c r="N353" t="s">
        <v>63</v>
      </c>
      <c r="O353" t="s">
        <v>57</v>
      </c>
      <c r="P353" t="s">
        <v>58</v>
      </c>
      <c r="Q353" t="s">
        <v>59</v>
      </c>
      <c r="R353">
        <v>99999</v>
      </c>
      <c r="S353" t="s">
        <v>30</v>
      </c>
      <c r="T353" t="s">
        <v>48</v>
      </c>
      <c r="U353" t="s">
        <v>133</v>
      </c>
      <c r="V353" t="s">
        <v>134</v>
      </c>
      <c r="W353">
        <v>34.799999999999997</v>
      </c>
      <c r="X353">
        <v>100</v>
      </c>
      <c r="Y353" s="4">
        <v>3479.9999999999995</v>
      </c>
      <c r="Z353" s="3">
        <v>344.52</v>
      </c>
    </row>
    <row r="354" spans="1:26" x14ac:dyDescent="0.35">
      <c r="A354">
        <v>1412</v>
      </c>
      <c r="B354" s="2">
        <v>41976</v>
      </c>
      <c r="C354">
        <v>3</v>
      </c>
      <c r="D354" t="s">
        <v>74</v>
      </c>
      <c r="E354" t="s">
        <v>75</v>
      </c>
      <c r="F354" t="s">
        <v>76</v>
      </c>
      <c r="G354" t="s">
        <v>77</v>
      </c>
      <c r="H354">
        <v>99999</v>
      </c>
      <c r="I354" t="s">
        <v>30</v>
      </c>
      <c r="J354" t="s">
        <v>31</v>
      </c>
      <c r="K354" t="s">
        <v>32</v>
      </c>
      <c r="L354" s="2">
        <v>41978</v>
      </c>
      <c r="M354" t="s">
        <v>33</v>
      </c>
      <c r="N354" t="s">
        <v>78</v>
      </c>
      <c r="O354" t="s">
        <v>75</v>
      </c>
      <c r="P354" t="s">
        <v>76</v>
      </c>
      <c r="Q354" t="s">
        <v>77</v>
      </c>
      <c r="R354">
        <v>99999</v>
      </c>
      <c r="S354" t="s">
        <v>30</v>
      </c>
      <c r="T354" t="s">
        <v>79</v>
      </c>
      <c r="U354" t="s">
        <v>135</v>
      </c>
      <c r="V354" t="s">
        <v>112</v>
      </c>
      <c r="W354">
        <v>10</v>
      </c>
      <c r="X354">
        <v>89</v>
      </c>
      <c r="Y354" s="4">
        <v>890</v>
      </c>
      <c r="Z354" s="3">
        <v>87.22</v>
      </c>
    </row>
    <row r="355" spans="1:26" x14ac:dyDescent="0.35">
      <c r="A355">
        <v>1413</v>
      </c>
      <c r="B355" s="2">
        <v>41976</v>
      </c>
      <c r="C355">
        <v>3</v>
      </c>
      <c r="D355" t="s">
        <v>74</v>
      </c>
      <c r="E355" t="s">
        <v>75</v>
      </c>
      <c r="F355" t="s">
        <v>76</v>
      </c>
      <c r="G355" t="s">
        <v>77</v>
      </c>
      <c r="H355">
        <v>99999</v>
      </c>
      <c r="I355" t="s">
        <v>30</v>
      </c>
      <c r="J355" t="s">
        <v>31</v>
      </c>
      <c r="K355" t="s">
        <v>32</v>
      </c>
      <c r="L355" s="2">
        <v>41978</v>
      </c>
      <c r="M355" t="s">
        <v>33</v>
      </c>
      <c r="N355" t="s">
        <v>78</v>
      </c>
      <c r="O355" t="s">
        <v>75</v>
      </c>
      <c r="P355" t="s">
        <v>76</v>
      </c>
      <c r="Q355" t="s">
        <v>77</v>
      </c>
      <c r="R355">
        <v>99999</v>
      </c>
      <c r="S355" t="s">
        <v>30</v>
      </c>
      <c r="T355" t="s">
        <v>79</v>
      </c>
      <c r="U355" t="s">
        <v>88</v>
      </c>
      <c r="V355" t="s">
        <v>89</v>
      </c>
      <c r="W355">
        <v>40</v>
      </c>
      <c r="X355">
        <v>12</v>
      </c>
      <c r="Y355" s="4">
        <v>480</v>
      </c>
      <c r="Z355" s="3">
        <v>46.56</v>
      </c>
    </row>
    <row r="356" spans="1:26" x14ac:dyDescent="0.35">
      <c r="A356">
        <v>1417</v>
      </c>
      <c r="B356" s="2">
        <v>41983</v>
      </c>
      <c r="C356">
        <v>10</v>
      </c>
      <c r="D356" t="s">
        <v>97</v>
      </c>
      <c r="E356" t="s">
        <v>98</v>
      </c>
      <c r="F356" t="s">
        <v>99</v>
      </c>
      <c r="G356" t="s">
        <v>100</v>
      </c>
      <c r="H356">
        <v>99999</v>
      </c>
      <c r="I356" t="s">
        <v>30</v>
      </c>
      <c r="J356" t="s">
        <v>101</v>
      </c>
      <c r="K356" t="s">
        <v>45</v>
      </c>
      <c r="L356" s="2">
        <v>41985</v>
      </c>
      <c r="M356" t="s">
        <v>33</v>
      </c>
      <c r="N356" t="s">
        <v>102</v>
      </c>
      <c r="O356" t="s">
        <v>98</v>
      </c>
      <c r="P356" t="s">
        <v>99</v>
      </c>
      <c r="Q356" t="s">
        <v>100</v>
      </c>
      <c r="R356">
        <v>99999</v>
      </c>
      <c r="S356" t="s">
        <v>30</v>
      </c>
      <c r="T356" t="s">
        <v>48</v>
      </c>
      <c r="U356" t="s">
        <v>136</v>
      </c>
      <c r="V356" t="s">
        <v>39</v>
      </c>
      <c r="W356">
        <v>10</v>
      </c>
      <c r="X356">
        <v>97</v>
      </c>
      <c r="Y356" s="4">
        <v>970</v>
      </c>
      <c r="Z356" s="3">
        <v>100.88000000000001</v>
      </c>
    </row>
    <row r="357" spans="1:26" x14ac:dyDescent="0.35">
      <c r="A357">
        <v>1419</v>
      </c>
      <c r="B357" s="2">
        <v>41983</v>
      </c>
      <c r="C357">
        <v>10</v>
      </c>
      <c r="D357" t="s">
        <v>97</v>
      </c>
      <c r="E357" t="s">
        <v>98</v>
      </c>
      <c r="F357" t="s">
        <v>99</v>
      </c>
      <c r="G357" t="s">
        <v>100</v>
      </c>
      <c r="H357">
        <v>99999</v>
      </c>
      <c r="I357" t="s">
        <v>30</v>
      </c>
      <c r="J357" t="s">
        <v>101</v>
      </c>
      <c r="K357" t="s">
        <v>45</v>
      </c>
      <c r="L357" s="2"/>
      <c r="M357" t="s">
        <v>46</v>
      </c>
      <c r="N357" t="s">
        <v>102</v>
      </c>
      <c r="O357" t="s">
        <v>98</v>
      </c>
      <c r="P357" t="s">
        <v>99</v>
      </c>
      <c r="Q357" t="s">
        <v>100</v>
      </c>
      <c r="R357">
        <v>99999</v>
      </c>
      <c r="S357" t="s">
        <v>30</v>
      </c>
      <c r="U357" t="s">
        <v>38</v>
      </c>
      <c r="V357" t="s">
        <v>39</v>
      </c>
      <c r="W357">
        <v>3.5</v>
      </c>
      <c r="X357">
        <v>53</v>
      </c>
      <c r="Y357" s="4">
        <v>185.5</v>
      </c>
      <c r="Z357" s="3">
        <v>17.622499999999999</v>
      </c>
    </row>
    <row r="358" spans="1:26" x14ac:dyDescent="0.35">
      <c r="A358">
        <v>1420</v>
      </c>
      <c r="B358" s="2">
        <v>41984</v>
      </c>
      <c r="C358">
        <v>11</v>
      </c>
      <c r="D358" t="s">
        <v>113</v>
      </c>
      <c r="E358" t="s">
        <v>114</v>
      </c>
      <c r="F358" t="s">
        <v>115</v>
      </c>
      <c r="G358" t="s">
        <v>116</v>
      </c>
      <c r="H358">
        <v>99999</v>
      </c>
      <c r="I358" t="s">
        <v>30</v>
      </c>
      <c r="J358" t="s">
        <v>94</v>
      </c>
      <c r="K358" t="s">
        <v>95</v>
      </c>
      <c r="L358" s="2"/>
      <c r="M358" t="s">
        <v>62</v>
      </c>
      <c r="N358" t="s">
        <v>117</v>
      </c>
      <c r="O358" t="s">
        <v>114</v>
      </c>
      <c r="P358" t="s">
        <v>115</v>
      </c>
      <c r="Q358" t="s">
        <v>116</v>
      </c>
      <c r="R358">
        <v>99999</v>
      </c>
      <c r="S358" t="s">
        <v>30</v>
      </c>
      <c r="U358" t="s">
        <v>88</v>
      </c>
      <c r="V358" t="s">
        <v>89</v>
      </c>
      <c r="W358">
        <v>40</v>
      </c>
      <c r="X358">
        <v>61</v>
      </c>
      <c r="Y358" s="4">
        <v>2440</v>
      </c>
      <c r="Z358" s="3">
        <v>248.88</v>
      </c>
    </row>
    <row r="359" spans="1:26" x14ac:dyDescent="0.35">
      <c r="A359">
        <v>1421</v>
      </c>
      <c r="B359" s="2">
        <v>41974</v>
      </c>
      <c r="C359">
        <v>1</v>
      </c>
      <c r="D359" t="s">
        <v>118</v>
      </c>
      <c r="E359" t="s">
        <v>119</v>
      </c>
      <c r="F359" t="s">
        <v>120</v>
      </c>
      <c r="G359" t="s">
        <v>121</v>
      </c>
      <c r="H359">
        <v>99999</v>
      </c>
      <c r="I359" t="s">
        <v>30</v>
      </c>
      <c r="J359" t="s">
        <v>60</v>
      </c>
      <c r="K359" t="s">
        <v>61</v>
      </c>
      <c r="L359" s="2"/>
      <c r="M359" t="s">
        <v>62</v>
      </c>
      <c r="N359" t="s">
        <v>122</v>
      </c>
      <c r="O359" t="s">
        <v>119</v>
      </c>
      <c r="P359" t="s">
        <v>120</v>
      </c>
      <c r="Q359" t="s">
        <v>121</v>
      </c>
      <c r="R359">
        <v>99999</v>
      </c>
      <c r="S359" t="s">
        <v>30</v>
      </c>
      <c r="U359" t="s">
        <v>123</v>
      </c>
      <c r="V359" t="s">
        <v>124</v>
      </c>
      <c r="W359">
        <v>18.399999999999999</v>
      </c>
      <c r="X359">
        <v>45</v>
      </c>
      <c r="Y359" s="4">
        <v>827.99999999999989</v>
      </c>
      <c r="Z359" s="3">
        <v>81.143999999999991</v>
      </c>
    </row>
    <row r="360" spans="1:26" x14ac:dyDescent="0.35">
      <c r="A360">
        <v>1422</v>
      </c>
      <c r="B360" s="2">
        <v>42001</v>
      </c>
      <c r="C360">
        <v>28</v>
      </c>
      <c r="D360" t="s">
        <v>90</v>
      </c>
      <c r="E360" t="s">
        <v>91</v>
      </c>
      <c r="F360" t="s">
        <v>92</v>
      </c>
      <c r="G360" t="s">
        <v>93</v>
      </c>
      <c r="H360">
        <v>99999</v>
      </c>
      <c r="I360" t="s">
        <v>30</v>
      </c>
      <c r="J360" t="s">
        <v>94</v>
      </c>
      <c r="K360" t="s">
        <v>95</v>
      </c>
      <c r="L360" s="2">
        <v>42003</v>
      </c>
      <c r="M360" t="s">
        <v>62</v>
      </c>
      <c r="N360" t="s">
        <v>96</v>
      </c>
      <c r="O360" t="s">
        <v>91</v>
      </c>
      <c r="P360" t="s">
        <v>92</v>
      </c>
      <c r="Q360" t="s">
        <v>93</v>
      </c>
      <c r="R360">
        <v>99999</v>
      </c>
      <c r="S360" t="s">
        <v>30</v>
      </c>
      <c r="T360" t="s">
        <v>48</v>
      </c>
      <c r="U360" t="s">
        <v>55</v>
      </c>
      <c r="V360" t="s">
        <v>37</v>
      </c>
      <c r="W360">
        <v>46</v>
      </c>
      <c r="X360">
        <v>43</v>
      </c>
      <c r="Y360" s="4">
        <v>1978</v>
      </c>
      <c r="Z360" s="3">
        <v>197.8</v>
      </c>
    </row>
    <row r="361" spans="1:26" x14ac:dyDescent="0.35">
      <c r="A361">
        <v>1423</v>
      </c>
      <c r="B361" s="2">
        <v>41982</v>
      </c>
      <c r="C361">
        <v>9</v>
      </c>
      <c r="D361" t="s">
        <v>125</v>
      </c>
      <c r="E361" t="s">
        <v>126</v>
      </c>
      <c r="F361" t="s">
        <v>127</v>
      </c>
      <c r="G361" t="s">
        <v>128</v>
      </c>
      <c r="H361">
        <v>99999</v>
      </c>
      <c r="I361" t="s">
        <v>30</v>
      </c>
      <c r="J361" t="s">
        <v>129</v>
      </c>
      <c r="K361" t="s">
        <v>32</v>
      </c>
      <c r="L361" s="2">
        <v>41984</v>
      </c>
      <c r="M361" t="s">
        <v>46</v>
      </c>
      <c r="N361" t="s">
        <v>130</v>
      </c>
      <c r="O361" t="s">
        <v>126</v>
      </c>
      <c r="P361" t="s">
        <v>127</v>
      </c>
      <c r="Q361" t="s">
        <v>128</v>
      </c>
      <c r="R361">
        <v>99999</v>
      </c>
      <c r="S361" t="s">
        <v>30</v>
      </c>
      <c r="T361" t="s">
        <v>35</v>
      </c>
      <c r="U361" t="s">
        <v>80</v>
      </c>
      <c r="V361" t="s">
        <v>81</v>
      </c>
      <c r="W361">
        <v>9.65</v>
      </c>
      <c r="X361">
        <v>18</v>
      </c>
      <c r="Y361" s="4">
        <v>173.70000000000002</v>
      </c>
      <c r="Z361" s="3">
        <v>16.5015</v>
      </c>
    </row>
    <row r="362" spans="1:26" x14ac:dyDescent="0.35">
      <c r="A362">
        <v>1424</v>
      </c>
      <c r="B362" s="2">
        <v>41979</v>
      </c>
      <c r="C362">
        <v>6</v>
      </c>
      <c r="D362" t="s">
        <v>82</v>
      </c>
      <c r="E362" t="s">
        <v>83</v>
      </c>
      <c r="F362" t="s">
        <v>84</v>
      </c>
      <c r="G362" t="s">
        <v>85</v>
      </c>
      <c r="H362">
        <v>99999</v>
      </c>
      <c r="I362" t="s">
        <v>30</v>
      </c>
      <c r="J362" t="s">
        <v>86</v>
      </c>
      <c r="K362" t="s">
        <v>61</v>
      </c>
      <c r="L362" s="2">
        <v>41981</v>
      </c>
      <c r="M362" t="s">
        <v>33</v>
      </c>
      <c r="N362" t="s">
        <v>87</v>
      </c>
      <c r="O362" t="s">
        <v>83</v>
      </c>
      <c r="P362" t="s">
        <v>84</v>
      </c>
      <c r="Q362" t="s">
        <v>85</v>
      </c>
      <c r="R362">
        <v>99999</v>
      </c>
      <c r="S362" t="s">
        <v>30</v>
      </c>
      <c r="T362" t="s">
        <v>48</v>
      </c>
      <c r="U362" t="s">
        <v>72</v>
      </c>
      <c r="V362" t="s">
        <v>73</v>
      </c>
      <c r="W362">
        <v>12.75</v>
      </c>
      <c r="X362">
        <v>41</v>
      </c>
      <c r="Y362" s="4">
        <v>522.75</v>
      </c>
      <c r="Z362" s="3">
        <v>50.706750000000007</v>
      </c>
    </row>
    <row r="363" spans="1:26" x14ac:dyDescent="0.35">
      <c r="A363">
        <v>1425</v>
      </c>
      <c r="B363" s="2">
        <v>41981</v>
      </c>
      <c r="C363">
        <v>8</v>
      </c>
      <c r="D363" t="s">
        <v>56</v>
      </c>
      <c r="E363" t="s">
        <v>57</v>
      </c>
      <c r="F363" t="s">
        <v>58</v>
      </c>
      <c r="G363" t="s">
        <v>59</v>
      </c>
      <c r="H363">
        <v>99999</v>
      </c>
      <c r="I363" t="s">
        <v>30</v>
      </c>
      <c r="J363" t="s">
        <v>60</v>
      </c>
      <c r="K363" t="s">
        <v>61</v>
      </c>
      <c r="L363">
        <v>41983</v>
      </c>
      <c r="M363" t="s">
        <v>33</v>
      </c>
      <c r="N363" t="s">
        <v>63</v>
      </c>
      <c r="O363" t="s">
        <v>57</v>
      </c>
      <c r="P363" t="s">
        <v>58</v>
      </c>
      <c r="Q363" t="s">
        <v>59</v>
      </c>
      <c r="R363">
        <v>99999</v>
      </c>
      <c r="S363" t="s">
        <v>30</v>
      </c>
      <c r="T363" t="s">
        <v>35</v>
      </c>
      <c r="U363" t="s">
        <v>72</v>
      </c>
      <c r="V363" t="s">
        <v>73</v>
      </c>
      <c r="W363">
        <v>12.75</v>
      </c>
      <c r="X363">
        <v>19</v>
      </c>
      <c r="Y363" s="4">
        <v>242.25</v>
      </c>
      <c r="Z363" s="3">
        <v>23.982750000000003</v>
      </c>
    </row>
    <row r="364" spans="1:26" x14ac:dyDescent="0.35">
      <c r="A364">
        <v>1426</v>
      </c>
      <c r="B364" s="2">
        <v>41998</v>
      </c>
      <c r="C364">
        <v>25</v>
      </c>
      <c r="D364" t="s">
        <v>137</v>
      </c>
      <c r="E364" t="s">
        <v>138</v>
      </c>
      <c r="F364" t="s">
        <v>99</v>
      </c>
      <c r="G364" t="s">
        <v>100</v>
      </c>
      <c r="H364">
        <v>99999</v>
      </c>
      <c r="I364" t="s">
        <v>30</v>
      </c>
      <c r="J364" t="s">
        <v>101</v>
      </c>
      <c r="K364" t="s">
        <v>45</v>
      </c>
      <c r="L364">
        <v>42000</v>
      </c>
      <c r="M364" t="s">
        <v>46</v>
      </c>
      <c r="N364" t="s">
        <v>139</v>
      </c>
      <c r="O364" t="s">
        <v>138</v>
      </c>
      <c r="P364" t="s">
        <v>99</v>
      </c>
      <c r="Q364" t="s">
        <v>100</v>
      </c>
      <c r="R364">
        <v>99999</v>
      </c>
      <c r="S364" t="s">
        <v>30</v>
      </c>
      <c r="T364" t="s">
        <v>79</v>
      </c>
      <c r="U364" t="s">
        <v>111</v>
      </c>
      <c r="V364" t="s">
        <v>112</v>
      </c>
      <c r="W364">
        <v>22</v>
      </c>
      <c r="X364">
        <v>65</v>
      </c>
      <c r="Y364" s="4">
        <v>1430</v>
      </c>
      <c r="Z364" s="3">
        <v>138.71</v>
      </c>
    </row>
    <row r="365" spans="1:26" x14ac:dyDescent="0.35">
      <c r="A365">
        <v>1427</v>
      </c>
      <c r="B365" s="2">
        <v>41999</v>
      </c>
      <c r="C365">
        <v>26</v>
      </c>
      <c r="D365" t="s">
        <v>140</v>
      </c>
      <c r="E365" t="s">
        <v>141</v>
      </c>
      <c r="F365" t="s">
        <v>115</v>
      </c>
      <c r="G365" t="s">
        <v>116</v>
      </c>
      <c r="H365">
        <v>99999</v>
      </c>
      <c r="I365" t="s">
        <v>30</v>
      </c>
      <c r="J365" t="s">
        <v>94</v>
      </c>
      <c r="K365" t="s">
        <v>95</v>
      </c>
      <c r="L365">
        <v>42001</v>
      </c>
      <c r="M365" t="s">
        <v>62</v>
      </c>
      <c r="N365" t="s">
        <v>142</v>
      </c>
      <c r="O365" t="s">
        <v>141</v>
      </c>
      <c r="P365" t="s">
        <v>115</v>
      </c>
      <c r="Q365" t="s">
        <v>116</v>
      </c>
      <c r="R365">
        <v>99999</v>
      </c>
      <c r="S365" t="s">
        <v>30</v>
      </c>
      <c r="T365" t="s">
        <v>48</v>
      </c>
      <c r="U365" t="s">
        <v>109</v>
      </c>
      <c r="V365" t="s">
        <v>110</v>
      </c>
      <c r="W365">
        <v>25</v>
      </c>
      <c r="X365">
        <v>13</v>
      </c>
      <c r="Y365" s="4">
        <v>325</v>
      </c>
      <c r="Z365" s="3">
        <v>32.174999999999997</v>
      </c>
    </row>
    <row r="366" spans="1:26" x14ac:dyDescent="0.35">
      <c r="A366">
        <v>1428</v>
      </c>
      <c r="B366" s="2">
        <v>42002</v>
      </c>
      <c r="C366">
        <v>29</v>
      </c>
      <c r="D366" t="s">
        <v>66</v>
      </c>
      <c r="E366" t="s">
        <v>67</v>
      </c>
      <c r="F366" t="s">
        <v>68</v>
      </c>
      <c r="G366" t="s">
        <v>69</v>
      </c>
      <c r="H366">
        <v>99999</v>
      </c>
      <c r="I366" t="s">
        <v>30</v>
      </c>
      <c r="J366" t="s">
        <v>70</v>
      </c>
      <c r="K366" t="s">
        <v>32</v>
      </c>
      <c r="L366">
        <v>42004</v>
      </c>
      <c r="M366" t="s">
        <v>33</v>
      </c>
      <c r="N366" t="s">
        <v>71</v>
      </c>
      <c r="O366" t="s">
        <v>67</v>
      </c>
      <c r="P366" t="s">
        <v>68</v>
      </c>
      <c r="Q366" t="s">
        <v>69</v>
      </c>
      <c r="R366">
        <v>99999</v>
      </c>
      <c r="S366" t="s">
        <v>30</v>
      </c>
      <c r="T366" t="s">
        <v>35</v>
      </c>
      <c r="U366" t="s">
        <v>143</v>
      </c>
      <c r="V366" t="s">
        <v>144</v>
      </c>
      <c r="W366">
        <v>39</v>
      </c>
      <c r="X366">
        <v>54</v>
      </c>
      <c r="Y366" s="4">
        <v>2106</v>
      </c>
      <c r="Z366" s="3">
        <v>214.81200000000004</v>
      </c>
    </row>
    <row r="367" spans="1:26" x14ac:dyDescent="0.35">
      <c r="A367">
        <v>1429</v>
      </c>
      <c r="B367" s="2">
        <v>41979</v>
      </c>
      <c r="C367">
        <v>6</v>
      </c>
      <c r="D367" t="s">
        <v>82</v>
      </c>
      <c r="E367" t="s">
        <v>83</v>
      </c>
      <c r="F367" t="s">
        <v>84</v>
      </c>
      <c r="G367" t="s">
        <v>85</v>
      </c>
      <c r="H367">
        <v>99999</v>
      </c>
      <c r="I367" t="s">
        <v>30</v>
      </c>
      <c r="J367" t="s">
        <v>86</v>
      </c>
      <c r="K367" t="s">
        <v>61</v>
      </c>
      <c r="L367" s="2">
        <v>41981</v>
      </c>
      <c r="M367" t="s">
        <v>62</v>
      </c>
      <c r="N367" t="s">
        <v>87</v>
      </c>
      <c r="O367" t="s">
        <v>83</v>
      </c>
      <c r="P367" t="s">
        <v>84</v>
      </c>
      <c r="Q367" t="s">
        <v>85</v>
      </c>
      <c r="R367">
        <v>99999</v>
      </c>
      <c r="S367" t="s">
        <v>30</v>
      </c>
      <c r="T367" t="s">
        <v>35</v>
      </c>
      <c r="U367" t="s">
        <v>49</v>
      </c>
      <c r="V367" t="s">
        <v>39</v>
      </c>
      <c r="W367">
        <v>30</v>
      </c>
      <c r="X367">
        <v>33</v>
      </c>
      <c r="Y367" s="4">
        <v>990</v>
      </c>
      <c r="Z367" s="3">
        <v>95.039999999999992</v>
      </c>
    </row>
    <row r="368" spans="1:26" x14ac:dyDescent="0.35">
      <c r="A368">
        <v>1430</v>
      </c>
      <c r="B368" s="2">
        <v>41979</v>
      </c>
      <c r="C368">
        <v>6</v>
      </c>
      <c r="D368" t="s">
        <v>82</v>
      </c>
      <c r="E368" t="s">
        <v>83</v>
      </c>
      <c r="F368" t="s">
        <v>84</v>
      </c>
      <c r="G368" t="s">
        <v>85</v>
      </c>
      <c r="H368">
        <v>99999</v>
      </c>
      <c r="I368" t="s">
        <v>30</v>
      </c>
      <c r="J368" t="s">
        <v>86</v>
      </c>
      <c r="K368" t="s">
        <v>61</v>
      </c>
      <c r="L368" s="2">
        <v>41981</v>
      </c>
      <c r="M368" t="s">
        <v>62</v>
      </c>
      <c r="N368" t="s">
        <v>87</v>
      </c>
      <c r="O368" t="s">
        <v>83</v>
      </c>
      <c r="P368" t="s">
        <v>84</v>
      </c>
      <c r="Q368" t="s">
        <v>85</v>
      </c>
      <c r="R368">
        <v>99999</v>
      </c>
      <c r="S368" t="s">
        <v>30</v>
      </c>
      <c r="T368" t="s">
        <v>35</v>
      </c>
      <c r="U368" t="s">
        <v>50</v>
      </c>
      <c r="V368" t="s">
        <v>39</v>
      </c>
      <c r="W368">
        <v>53</v>
      </c>
      <c r="X368">
        <v>34</v>
      </c>
      <c r="Y368" s="4">
        <v>1802</v>
      </c>
      <c r="Z368" s="3">
        <v>185.60600000000002</v>
      </c>
    </row>
    <row r="369" spans="1:26" x14ac:dyDescent="0.35">
      <c r="A369">
        <v>1431</v>
      </c>
      <c r="B369" s="2">
        <v>41977</v>
      </c>
      <c r="C369">
        <v>4</v>
      </c>
      <c r="D369" t="s">
        <v>40</v>
      </c>
      <c r="E369" t="s">
        <v>41</v>
      </c>
      <c r="F369" t="s">
        <v>42</v>
      </c>
      <c r="G369" t="s">
        <v>43</v>
      </c>
      <c r="H369">
        <v>99999</v>
      </c>
      <c r="I369" t="s">
        <v>30</v>
      </c>
      <c r="J369" t="s">
        <v>44</v>
      </c>
      <c r="K369" t="s">
        <v>45</v>
      </c>
      <c r="L369" s="2"/>
      <c r="N369" t="s">
        <v>47</v>
      </c>
      <c r="O369" t="s">
        <v>41</v>
      </c>
      <c r="P369" t="s">
        <v>42</v>
      </c>
      <c r="Q369" t="s">
        <v>43</v>
      </c>
      <c r="R369">
        <v>99999</v>
      </c>
      <c r="S369" t="s">
        <v>30</v>
      </c>
      <c r="U369" t="s">
        <v>145</v>
      </c>
      <c r="V369" t="s">
        <v>132</v>
      </c>
      <c r="W369" s="3">
        <v>38</v>
      </c>
      <c r="X369">
        <v>59</v>
      </c>
      <c r="Y369" s="4">
        <v>2242</v>
      </c>
      <c r="Z369" s="3">
        <v>226.44200000000001</v>
      </c>
    </row>
    <row r="370" spans="1:26" x14ac:dyDescent="0.35">
      <c r="A370">
        <v>1432</v>
      </c>
      <c r="B370" s="2">
        <v>41976</v>
      </c>
      <c r="C370">
        <v>3</v>
      </c>
      <c r="D370" t="s">
        <v>74</v>
      </c>
      <c r="E370" t="s">
        <v>75</v>
      </c>
      <c r="F370" t="s">
        <v>76</v>
      </c>
      <c r="G370" t="s">
        <v>77</v>
      </c>
      <c r="H370">
        <v>99999</v>
      </c>
      <c r="I370" t="s">
        <v>30</v>
      </c>
      <c r="J370" t="s">
        <v>31</v>
      </c>
      <c r="K370" t="s">
        <v>32</v>
      </c>
      <c r="L370" s="2"/>
      <c r="N370" t="s">
        <v>78</v>
      </c>
      <c r="O370" t="s">
        <v>75</v>
      </c>
      <c r="P370" t="s">
        <v>76</v>
      </c>
      <c r="Q370" t="s">
        <v>77</v>
      </c>
      <c r="R370">
        <v>99999</v>
      </c>
      <c r="S370" t="s">
        <v>30</v>
      </c>
      <c r="U370" t="s">
        <v>103</v>
      </c>
      <c r="V370" t="s">
        <v>37</v>
      </c>
      <c r="W370" s="3">
        <v>2.99</v>
      </c>
      <c r="X370">
        <v>24</v>
      </c>
      <c r="Y370" s="4">
        <v>71.760000000000005</v>
      </c>
      <c r="Z370" s="3">
        <v>7.1042400000000008</v>
      </c>
    </row>
  </sheetData>
  <autoFilter ref="A1:Z370" xr:uid="{00000000-0009-0000-0000-000007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8FA56-FAA9-43AA-92A1-3FAD947E0AB0}">
  <dimension ref="A1:A3"/>
  <sheetViews>
    <sheetView showGridLines="0" tabSelected="1" topLeftCell="A22" workbookViewId="0">
      <selection activeCell="T3" sqref="T3"/>
    </sheetView>
  </sheetViews>
  <sheetFormatPr defaultRowHeight="14.5" x14ac:dyDescent="0.35"/>
  <sheetData>
    <row r="1" spans="1:1" x14ac:dyDescent="0.35">
      <c r="A1" s="6" t="s">
        <v>167</v>
      </c>
    </row>
    <row r="2" spans="1:1" x14ac:dyDescent="0.35">
      <c r="A2" s="6" t="s">
        <v>168</v>
      </c>
    </row>
    <row r="3" spans="1:1" x14ac:dyDescent="0.35">
      <c r="A3" s="6" t="s">
        <v>169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2A577-BDE9-4712-A360-86F8FDBCD7E3}">
  <dimension ref="A3:B16"/>
  <sheetViews>
    <sheetView workbookViewId="0">
      <selection activeCell="E39" sqref="E39"/>
    </sheetView>
  </sheetViews>
  <sheetFormatPr defaultRowHeight="14.5" x14ac:dyDescent="0.35"/>
  <cols>
    <col min="1" max="1" width="12.36328125" bestFit="1" customWidth="1"/>
    <col min="2" max="2" width="14.36328125" bestFit="1" customWidth="1"/>
  </cols>
  <sheetData>
    <row r="3" spans="1:2" x14ac:dyDescent="0.35">
      <c r="A3" s="10" t="s">
        <v>170</v>
      </c>
      <c r="B3" t="s">
        <v>184</v>
      </c>
    </row>
    <row r="4" spans="1:2" x14ac:dyDescent="0.35">
      <c r="A4" s="11" t="s">
        <v>172</v>
      </c>
      <c r="B4" s="3">
        <v>32907.839999999997</v>
      </c>
    </row>
    <row r="5" spans="1:2" x14ac:dyDescent="0.35">
      <c r="A5" s="11" t="s">
        <v>173</v>
      </c>
      <c r="B5" s="3">
        <v>19985.5</v>
      </c>
    </row>
    <row r="6" spans="1:2" x14ac:dyDescent="0.35">
      <c r="A6" s="11" t="s">
        <v>174</v>
      </c>
      <c r="B6" s="3">
        <v>30852.6</v>
      </c>
    </row>
    <row r="7" spans="1:2" x14ac:dyDescent="0.35">
      <c r="A7" s="11" t="s">
        <v>175</v>
      </c>
      <c r="B7" s="3">
        <v>20771.789999999997</v>
      </c>
    </row>
    <row r="8" spans="1:2" x14ac:dyDescent="0.35">
      <c r="A8" s="11" t="s">
        <v>176</v>
      </c>
      <c r="B8" s="3">
        <v>34307.049999999996</v>
      </c>
    </row>
    <row r="9" spans="1:2" x14ac:dyDescent="0.35">
      <c r="A9" s="11" t="s">
        <v>177</v>
      </c>
      <c r="B9" s="3">
        <v>55601.61</v>
      </c>
    </row>
    <row r="10" spans="1:2" x14ac:dyDescent="0.35">
      <c r="A10" s="11" t="s">
        <v>178</v>
      </c>
      <c r="B10" s="3">
        <v>27318.539999999997</v>
      </c>
    </row>
    <row r="11" spans="1:2" x14ac:dyDescent="0.35">
      <c r="A11" s="11" t="s">
        <v>179</v>
      </c>
      <c r="B11" s="3">
        <v>29921.459999999995</v>
      </c>
    </row>
    <row r="12" spans="1:2" x14ac:dyDescent="0.35">
      <c r="A12" s="11" t="s">
        <v>180</v>
      </c>
      <c r="B12" s="3">
        <v>31949.97</v>
      </c>
    </row>
    <row r="13" spans="1:2" x14ac:dyDescent="0.35">
      <c r="A13" s="11" t="s">
        <v>181</v>
      </c>
      <c r="B13" s="3">
        <v>53033.59</v>
      </c>
    </row>
    <row r="14" spans="1:2" x14ac:dyDescent="0.35">
      <c r="A14" s="11" t="s">
        <v>182</v>
      </c>
      <c r="B14" s="3">
        <v>31773.429999999997</v>
      </c>
    </row>
    <row r="15" spans="1:2" x14ac:dyDescent="0.35">
      <c r="A15" s="11" t="s">
        <v>183</v>
      </c>
      <c r="B15" s="3">
        <v>66642.78</v>
      </c>
    </row>
    <row r="16" spans="1:2" x14ac:dyDescent="0.35">
      <c r="A16" s="11" t="s">
        <v>171</v>
      </c>
      <c r="B16" s="3">
        <v>435066.15999999992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EC2BC-1EC8-43D7-8422-0E202AA37EF5}">
  <dimension ref="A3:B14"/>
  <sheetViews>
    <sheetView workbookViewId="0">
      <selection activeCell="N17" sqref="N17"/>
    </sheetView>
  </sheetViews>
  <sheetFormatPr defaultRowHeight="14.5" x14ac:dyDescent="0.35"/>
  <cols>
    <col min="1" max="1" width="12.36328125" bestFit="1" customWidth="1"/>
    <col min="2" max="2" width="14.36328125" bestFit="1" customWidth="1"/>
  </cols>
  <sheetData>
    <row r="3" spans="1:2" x14ac:dyDescent="0.35">
      <c r="A3" s="10" t="s">
        <v>170</v>
      </c>
      <c r="B3" t="s">
        <v>184</v>
      </c>
    </row>
    <row r="4" spans="1:2" x14ac:dyDescent="0.35">
      <c r="A4" s="11" t="s">
        <v>113</v>
      </c>
      <c r="B4" s="3">
        <v>21937.08</v>
      </c>
    </row>
    <row r="5" spans="1:2" x14ac:dyDescent="0.35">
      <c r="A5" s="11" t="s">
        <v>74</v>
      </c>
      <c r="B5" s="3">
        <v>27005.38</v>
      </c>
    </row>
    <row r="6" spans="1:2" x14ac:dyDescent="0.35">
      <c r="A6" s="11" t="s">
        <v>140</v>
      </c>
      <c r="B6" s="3">
        <v>28208.250000000007</v>
      </c>
    </row>
    <row r="7" spans="1:2" x14ac:dyDescent="0.35">
      <c r="A7" s="11" t="s">
        <v>97</v>
      </c>
      <c r="B7" s="3">
        <v>29133.009999999995</v>
      </c>
    </row>
    <row r="8" spans="1:2" x14ac:dyDescent="0.35">
      <c r="A8" s="11" t="s">
        <v>125</v>
      </c>
      <c r="B8" s="3">
        <v>32530.6</v>
      </c>
    </row>
    <row r="9" spans="1:2" x14ac:dyDescent="0.35">
      <c r="A9" s="11" t="s">
        <v>118</v>
      </c>
      <c r="B9" s="3">
        <v>36839.990000000005</v>
      </c>
    </row>
    <row r="10" spans="1:2" x14ac:dyDescent="0.35">
      <c r="A10" s="11" t="s">
        <v>82</v>
      </c>
      <c r="B10" s="3">
        <v>37428</v>
      </c>
    </row>
    <row r="11" spans="1:2" x14ac:dyDescent="0.35">
      <c r="A11" s="11" t="s">
        <v>90</v>
      </c>
      <c r="B11" s="3">
        <v>43713</v>
      </c>
    </row>
    <row r="12" spans="1:2" x14ac:dyDescent="0.35">
      <c r="A12" s="11" t="s">
        <v>56</v>
      </c>
      <c r="B12" s="3">
        <v>50208.35</v>
      </c>
    </row>
    <row r="13" spans="1:2" x14ac:dyDescent="0.35">
      <c r="A13" s="11" t="s">
        <v>40</v>
      </c>
      <c r="B13" s="3">
        <v>67180.5</v>
      </c>
    </row>
    <row r="14" spans="1:2" x14ac:dyDescent="0.35">
      <c r="A14" s="11" t="s">
        <v>171</v>
      </c>
      <c r="B14" s="3">
        <v>374184.16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0BDCC-A9EE-4104-AD12-1C17AB284F20}">
  <dimension ref="A3:B12"/>
  <sheetViews>
    <sheetView workbookViewId="0">
      <selection activeCell="C18" sqref="C18"/>
    </sheetView>
  </sheetViews>
  <sheetFormatPr defaultRowHeight="14.5" x14ac:dyDescent="0.35"/>
  <cols>
    <col min="1" max="1" width="15.26953125" bestFit="1" customWidth="1"/>
    <col min="2" max="2" width="14.36328125" bestFit="1" customWidth="1"/>
  </cols>
  <sheetData>
    <row r="3" spans="1:2" x14ac:dyDescent="0.35">
      <c r="A3" s="10" t="s">
        <v>170</v>
      </c>
      <c r="B3" t="s">
        <v>184</v>
      </c>
    </row>
    <row r="4" spans="1:2" x14ac:dyDescent="0.35">
      <c r="A4" s="11" t="s">
        <v>70</v>
      </c>
      <c r="B4" s="3">
        <v>16350.5</v>
      </c>
    </row>
    <row r="5" spans="1:2" x14ac:dyDescent="0.35">
      <c r="A5" s="11" t="s">
        <v>129</v>
      </c>
      <c r="B5" s="3">
        <v>32530.6</v>
      </c>
    </row>
    <row r="6" spans="1:2" x14ac:dyDescent="0.35">
      <c r="A6" s="11" t="s">
        <v>86</v>
      </c>
      <c r="B6" s="3">
        <v>37428</v>
      </c>
    </row>
    <row r="7" spans="1:2" x14ac:dyDescent="0.35">
      <c r="A7" s="11" t="s">
        <v>101</v>
      </c>
      <c r="B7" s="3">
        <v>41095.01</v>
      </c>
    </row>
    <row r="8" spans="1:2" x14ac:dyDescent="0.35">
      <c r="A8" s="11" t="s">
        <v>31</v>
      </c>
      <c r="B8" s="3">
        <v>42370.880000000005</v>
      </c>
    </row>
    <row r="9" spans="1:2" x14ac:dyDescent="0.35">
      <c r="A9" s="11" t="s">
        <v>44</v>
      </c>
      <c r="B9" s="3">
        <v>67180.5</v>
      </c>
    </row>
    <row r="10" spans="1:2" x14ac:dyDescent="0.35">
      <c r="A10" s="11" t="s">
        <v>94</v>
      </c>
      <c r="B10" s="3">
        <v>93858.329999999987</v>
      </c>
    </row>
    <row r="11" spans="1:2" x14ac:dyDescent="0.35">
      <c r="A11" s="11" t="s">
        <v>60</v>
      </c>
      <c r="B11" s="3">
        <v>104252.33999999997</v>
      </c>
    </row>
    <row r="12" spans="1:2" x14ac:dyDescent="0.35">
      <c r="A12" s="11" t="s">
        <v>171</v>
      </c>
      <c r="B12" s="3">
        <v>435066.15999999992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8E41B-C1D9-4109-A4E5-2B5492EA06B8}">
  <dimension ref="A3:B8"/>
  <sheetViews>
    <sheetView workbookViewId="0">
      <selection activeCell="O41" sqref="O41"/>
    </sheetView>
  </sheetViews>
  <sheetFormatPr defaultRowHeight="14.5" x14ac:dyDescent="0.35"/>
  <cols>
    <col min="1" max="1" width="12.36328125" bestFit="1" customWidth="1"/>
    <col min="2" max="2" width="14.36328125" bestFit="1" customWidth="1"/>
  </cols>
  <sheetData>
    <row r="3" spans="1:2" x14ac:dyDescent="0.35">
      <c r="A3" s="10" t="s">
        <v>170</v>
      </c>
      <c r="B3" t="s">
        <v>184</v>
      </c>
    </row>
    <row r="4" spans="1:2" x14ac:dyDescent="0.35">
      <c r="A4" s="11" t="s">
        <v>61</v>
      </c>
      <c r="B4" s="12">
        <v>0.32565240192434181</v>
      </c>
    </row>
    <row r="5" spans="1:2" x14ac:dyDescent="0.35">
      <c r="A5" s="11" t="s">
        <v>45</v>
      </c>
      <c r="B5" s="12">
        <v>0.24887136705828836</v>
      </c>
    </row>
    <row r="6" spans="1:2" x14ac:dyDescent="0.35">
      <c r="A6" s="11" t="s">
        <v>95</v>
      </c>
      <c r="B6" s="12">
        <v>0.21573346453789927</v>
      </c>
    </row>
    <row r="7" spans="1:2" x14ac:dyDescent="0.35">
      <c r="A7" s="11" t="s">
        <v>32</v>
      </c>
      <c r="B7" s="12">
        <v>0.20974276647947063</v>
      </c>
    </row>
    <row r="8" spans="1:2" x14ac:dyDescent="0.35">
      <c r="A8" s="11" t="s">
        <v>171</v>
      </c>
      <c r="B8" s="12">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3191F-DD27-41A0-94D7-2315BEE33875}">
  <dimension ref="A3:B9"/>
  <sheetViews>
    <sheetView workbookViewId="0">
      <selection activeCell="M11" sqref="M11"/>
    </sheetView>
  </sheetViews>
  <sheetFormatPr defaultRowHeight="14.5" x14ac:dyDescent="0.35"/>
  <cols>
    <col min="1" max="1" width="15.81640625" bestFit="1" customWidth="1"/>
    <col min="2" max="2" width="14.36328125" bestFit="1" customWidth="1"/>
  </cols>
  <sheetData>
    <row r="3" spans="1:2" x14ac:dyDescent="0.35">
      <c r="A3" s="10" t="s">
        <v>170</v>
      </c>
      <c r="B3" t="s">
        <v>184</v>
      </c>
    </row>
    <row r="4" spans="1:2" x14ac:dyDescent="0.35">
      <c r="A4" s="11" t="s">
        <v>37</v>
      </c>
      <c r="B4" s="3">
        <v>110577.10999999999</v>
      </c>
    </row>
    <row r="5" spans="1:2" x14ac:dyDescent="0.35">
      <c r="A5" s="11" t="s">
        <v>89</v>
      </c>
      <c r="B5" s="3">
        <v>69000</v>
      </c>
    </row>
    <row r="6" spans="1:2" x14ac:dyDescent="0.35">
      <c r="A6" s="11" t="s">
        <v>110</v>
      </c>
      <c r="B6" s="3">
        <v>51541</v>
      </c>
    </row>
    <row r="7" spans="1:2" x14ac:dyDescent="0.35">
      <c r="A7" s="11" t="s">
        <v>134</v>
      </c>
      <c r="B7" s="3">
        <v>33129.600000000006</v>
      </c>
    </row>
    <row r="8" spans="1:2" x14ac:dyDescent="0.35">
      <c r="A8" s="11" t="s">
        <v>39</v>
      </c>
      <c r="B8" s="3">
        <v>27999.5</v>
      </c>
    </row>
    <row r="9" spans="1:2" x14ac:dyDescent="0.35">
      <c r="A9" s="11" t="s">
        <v>171</v>
      </c>
      <c r="B9" s="3">
        <v>292247.20999999996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DB0F7-0DAD-47F6-BC4D-138AE6BE232D}">
  <dimension ref="A3:B9"/>
  <sheetViews>
    <sheetView workbookViewId="0">
      <selection activeCell="K12" sqref="K12"/>
    </sheetView>
  </sheetViews>
  <sheetFormatPr defaultRowHeight="14.5" x14ac:dyDescent="0.35"/>
  <cols>
    <col min="1" max="1" width="12.36328125" bestFit="1" customWidth="1"/>
    <col min="2" max="2" width="14.36328125" bestFit="1" customWidth="1"/>
  </cols>
  <sheetData>
    <row r="3" spans="1:2" x14ac:dyDescent="0.35">
      <c r="A3" s="10" t="s">
        <v>170</v>
      </c>
      <c r="B3" t="s">
        <v>184</v>
      </c>
    </row>
    <row r="4" spans="1:2" x14ac:dyDescent="0.35">
      <c r="A4" s="11" t="s">
        <v>99</v>
      </c>
      <c r="B4" s="3">
        <v>41095.01</v>
      </c>
    </row>
    <row r="5" spans="1:2" x14ac:dyDescent="0.35">
      <c r="A5" s="11" t="s">
        <v>92</v>
      </c>
      <c r="B5" s="3">
        <v>43713</v>
      </c>
    </row>
    <row r="6" spans="1:2" x14ac:dyDescent="0.35">
      <c r="A6" s="11" t="s">
        <v>115</v>
      </c>
      <c r="B6" s="3">
        <v>50145.330000000009</v>
      </c>
    </row>
    <row r="7" spans="1:2" x14ac:dyDescent="0.35">
      <c r="A7" s="11" t="s">
        <v>58</v>
      </c>
      <c r="B7" s="3">
        <v>50208.35</v>
      </c>
    </row>
    <row r="8" spans="1:2" x14ac:dyDescent="0.35">
      <c r="A8" s="11" t="s">
        <v>42</v>
      </c>
      <c r="B8" s="3">
        <v>67180.5</v>
      </c>
    </row>
    <row r="9" spans="1:2" x14ac:dyDescent="0.35">
      <c r="A9" s="11" t="s">
        <v>171</v>
      </c>
      <c r="B9" s="3">
        <v>252342.19000000003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7214B-73AF-4584-B6AD-95DA2763863E}">
  <dimension ref="A3:E16"/>
  <sheetViews>
    <sheetView workbookViewId="0">
      <selection activeCell="H20" sqref="H20"/>
    </sheetView>
  </sheetViews>
  <sheetFormatPr defaultRowHeight="14.5" x14ac:dyDescent="0.35"/>
  <cols>
    <col min="1" max="1" width="12.36328125" bestFit="1" customWidth="1"/>
    <col min="2" max="2" width="14.36328125" bestFit="1" customWidth="1"/>
    <col min="5" max="5" width="16.453125" customWidth="1"/>
  </cols>
  <sheetData>
    <row r="3" spans="1:5" x14ac:dyDescent="0.35">
      <c r="A3" s="10" t="s">
        <v>170</v>
      </c>
      <c r="B3" t="s">
        <v>184</v>
      </c>
      <c r="D3" s="13" t="s">
        <v>6</v>
      </c>
      <c r="E3" s="13" t="s">
        <v>184</v>
      </c>
    </row>
    <row r="4" spans="1:5" x14ac:dyDescent="0.35">
      <c r="A4" s="11" t="s">
        <v>43</v>
      </c>
      <c r="B4" s="3">
        <v>67180.5</v>
      </c>
      <c r="D4" s="11" t="s">
        <v>43</v>
      </c>
      <c r="E4" s="3">
        <v>67180.5</v>
      </c>
    </row>
    <row r="5" spans="1:5" x14ac:dyDescent="0.35">
      <c r="A5" s="11" t="s">
        <v>59</v>
      </c>
      <c r="B5" s="3">
        <v>50208.35</v>
      </c>
      <c r="D5" s="11" t="s">
        <v>59</v>
      </c>
      <c r="E5" s="3">
        <v>50208.35</v>
      </c>
    </row>
    <row r="6" spans="1:5" x14ac:dyDescent="0.35">
      <c r="A6" s="11" t="s">
        <v>116</v>
      </c>
      <c r="B6" s="3">
        <v>50145.330000000009</v>
      </c>
      <c r="D6" s="11" t="s">
        <v>116</v>
      </c>
      <c r="E6" s="3">
        <v>50145.330000000009</v>
      </c>
    </row>
    <row r="7" spans="1:5" x14ac:dyDescent="0.35">
      <c r="A7" s="11" t="s">
        <v>93</v>
      </c>
      <c r="B7" s="3">
        <v>43713</v>
      </c>
      <c r="D7" s="11" t="s">
        <v>93</v>
      </c>
      <c r="E7" s="3">
        <v>43713</v>
      </c>
    </row>
    <row r="8" spans="1:5" x14ac:dyDescent="0.35">
      <c r="A8" s="11" t="s">
        <v>100</v>
      </c>
      <c r="B8" s="3">
        <v>41095.01</v>
      </c>
      <c r="D8" s="11" t="s">
        <v>100</v>
      </c>
      <c r="E8" s="3">
        <v>41095.01</v>
      </c>
    </row>
    <row r="9" spans="1:5" x14ac:dyDescent="0.35">
      <c r="A9" s="11" t="s">
        <v>85</v>
      </c>
      <c r="B9" s="3">
        <v>37428</v>
      </c>
      <c r="D9" s="11" t="s">
        <v>85</v>
      </c>
      <c r="E9" s="3">
        <v>37428</v>
      </c>
    </row>
    <row r="10" spans="1:5" x14ac:dyDescent="0.35">
      <c r="A10" s="11" t="s">
        <v>121</v>
      </c>
      <c r="B10" s="3">
        <v>36839.990000000005</v>
      </c>
      <c r="D10" s="11" t="s">
        <v>121</v>
      </c>
      <c r="E10" s="3">
        <v>36839.990000000005</v>
      </c>
    </row>
    <row r="11" spans="1:5" x14ac:dyDescent="0.35">
      <c r="A11" s="11" t="s">
        <v>128</v>
      </c>
      <c r="B11" s="3">
        <v>32530.6</v>
      </c>
      <c r="D11" s="11" t="s">
        <v>128</v>
      </c>
      <c r="E11" s="3">
        <v>32530.6</v>
      </c>
    </row>
    <row r="12" spans="1:5" x14ac:dyDescent="0.35">
      <c r="A12" s="11" t="s">
        <v>77</v>
      </c>
      <c r="B12" s="3">
        <v>27005.38</v>
      </c>
      <c r="D12" s="11" t="s">
        <v>77</v>
      </c>
      <c r="E12" s="3">
        <v>27005.38</v>
      </c>
    </row>
    <row r="13" spans="1:5" x14ac:dyDescent="0.35">
      <c r="A13" s="11" t="s">
        <v>107</v>
      </c>
      <c r="B13" s="3">
        <v>17204</v>
      </c>
      <c r="D13" s="11" t="s">
        <v>107</v>
      </c>
      <c r="E13" s="3">
        <v>17204</v>
      </c>
    </row>
    <row r="14" spans="1:5" x14ac:dyDescent="0.35">
      <c r="A14" s="11" t="s">
        <v>69</v>
      </c>
      <c r="B14" s="3">
        <v>16350.5</v>
      </c>
      <c r="D14" s="11" t="s">
        <v>69</v>
      </c>
      <c r="E14" s="3">
        <v>16350.5</v>
      </c>
    </row>
    <row r="15" spans="1:5" x14ac:dyDescent="0.35">
      <c r="A15" s="11" t="s">
        <v>29</v>
      </c>
      <c r="B15" s="3">
        <v>15365.5</v>
      </c>
      <c r="D15" s="11" t="s">
        <v>29</v>
      </c>
      <c r="E15" s="3">
        <v>15365.5</v>
      </c>
    </row>
    <row r="16" spans="1:5" x14ac:dyDescent="0.35">
      <c r="A16" s="11" t="s">
        <v>171</v>
      </c>
      <c r="B16" s="3">
        <v>435066.16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0A4B6-55E9-47C8-AC77-3C0426BDE729}">
  <dimension ref="A3:E10"/>
  <sheetViews>
    <sheetView workbookViewId="0">
      <selection activeCell="D14" sqref="D14"/>
    </sheetView>
  </sheetViews>
  <sheetFormatPr defaultRowHeight="14.5" x14ac:dyDescent="0.35"/>
  <cols>
    <col min="1" max="1" width="12.36328125" bestFit="1" customWidth="1"/>
    <col min="2" max="2" width="14.36328125" bestFit="1" customWidth="1"/>
    <col min="5" max="5" width="16.453125" customWidth="1"/>
  </cols>
  <sheetData>
    <row r="3" spans="1:5" x14ac:dyDescent="0.35">
      <c r="A3" s="10" t="s">
        <v>170</v>
      </c>
      <c r="B3" t="s">
        <v>184</v>
      </c>
      <c r="D3" s="13" t="s">
        <v>187</v>
      </c>
      <c r="E3" s="13" t="s">
        <v>184</v>
      </c>
    </row>
    <row r="4" spans="1:5" x14ac:dyDescent="0.35">
      <c r="A4" s="11" t="s">
        <v>42</v>
      </c>
      <c r="B4" s="3">
        <v>67180.5</v>
      </c>
      <c r="D4" s="11" t="s">
        <v>42</v>
      </c>
      <c r="E4" s="3">
        <v>67180.5</v>
      </c>
    </row>
    <row r="5" spans="1:5" x14ac:dyDescent="0.35">
      <c r="A5" s="11" t="s">
        <v>58</v>
      </c>
      <c r="B5" s="3">
        <v>50208.35</v>
      </c>
      <c r="D5" s="11" t="s">
        <v>58</v>
      </c>
      <c r="E5" s="3">
        <v>50208.35</v>
      </c>
    </row>
    <row r="6" spans="1:5" x14ac:dyDescent="0.35">
      <c r="A6" s="11" t="s">
        <v>115</v>
      </c>
      <c r="B6" s="3">
        <v>50145.330000000009</v>
      </c>
      <c r="D6" s="11" t="s">
        <v>115</v>
      </c>
      <c r="E6" s="3">
        <v>50145.330000000009</v>
      </c>
    </row>
    <row r="7" spans="1:5" x14ac:dyDescent="0.35">
      <c r="A7" s="11" t="s">
        <v>92</v>
      </c>
      <c r="B7" s="3">
        <v>43713</v>
      </c>
      <c r="D7" s="11" t="s">
        <v>92</v>
      </c>
      <c r="E7" s="3">
        <v>43713</v>
      </c>
    </row>
    <row r="8" spans="1:5" x14ac:dyDescent="0.35">
      <c r="A8" s="11" t="s">
        <v>99</v>
      </c>
      <c r="B8" s="3">
        <v>41095.01</v>
      </c>
      <c r="D8" s="11" t="s">
        <v>99</v>
      </c>
      <c r="E8" s="3">
        <v>41095.01</v>
      </c>
    </row>
    <row r="9" spans="1:5" x14ac:dyDescent="0.35">
      <c r="A9" s="11" t="s">
        <v>84</v>
      </c>
      <c r="B9" s="3">
        <v>37428</v>
      </c>
      <c r="D9" s="11" t="s">
        <v>84</v>
      </c>
      <c r="E9" s="3">
        <v>37428</v>
      </c>
    </row>
    <row r="10" spans="1:5" x14ac:dyDescent="0.35">
      <c r="A10" s="11" t="s">
        <v>171</v>
      </c>
      <c r="B10" s="3">
        <v>289770.19</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5A02C-C8E9-43B8-AB7C-080A59E42839}">
  <dimension ref="A3:E11"/>
  <sheetViews>
    <sheetView workbookViewId="0">
      <selection activeCell="B16" sqref="B16"/>
    </sheetView>
  </sheetViews>
  <sheetFormatPr defaultRowHeight="14.5" x14ac:dyDescent="0.35"/>
  <cols>
    <col min="1" max="1" width="12.36328125" bestFit="1" customWidth="1"/>
    <col min="2" max="2" width="15.81640625" bestFit="1" customWidth="1"/>
    <col min="5" max="5" width="16.453125" customWidth="1"/>
  </cols>
  <sheetData>
    <row r="3" spans="1:5" x14ac:dyDescent="0.35">
      <c r="A3" s="10" t="s">
        <v>170</v>
      </c>
      <c r="B3" t="s">
        <v>195</v>
      </c>
      <c r="D3" s="13"/>
      <c r="E3" s="13"/>
    </row>
    <row r="4" spans="1:5" x14ac:dyDescent="0.35">
      <c r="A4" s="14" t="s">
        <v>188</v>
      </c>
      <c r="B4">
        <v>218</v>
      </c>
      <c r="D4" s="11"/>
      <c r="E4" s="3"/>
    </row>
    <row r="5" spans="1:5" x14ac:dyDescent="0.35">
      <c r="A5" s="14" t="s">
        <v>189</v>
      </c>
      <c r="B5">
        <v>85</v>
      </c>
      <c r="D5" s="11"/>
      <c r="E5" s="3"/>
    </row>
    <row r="6" spans="1:5" x14ac:dyDescent="0.35">
      <c r="A6" s="14" t="s">
        <v>190</v>
      </c>
      <c r="B6">
        <v>31</v>
      </c>
      <c r="D6" s="11"/>
      <c r="E6" s="3"/>
    </row>
    <row r="7" spans="1:5" x14ac:dyDescent="0.35">
      <c r="A7" s="14" t="s">
        <v>191</v>
      </c>
      <c r="B7">
        <v>24</v>
      </c>
      <c r="D7" s="11"/>
      <c r="E7" s="3"/>
    </row>
    <row r="8" spans="1:5" x14ac:dyDescent="0.35">
      <c r="A8" s="14" t="s">
        <v>192</v>
      </c>
      <c r="B8">
        <v>8</v>
      </c>
      <c r="D8" s="11"/>
      <c r="E8" s="3"/>
    </row>
    <row r="9" spans="1:5" x14ac:dyDescent="0.35">
      <c r="A9" s="14" t="s">
        <v>193</v>
      </c>
      <c r="B9">
        <v>2</v>
      </c>
      <c r="D9" s="11"/>
      <c r="E9" s="3"/>
    </row>
    <row r="10" spans="1:5" x14ac:dyDescent="0.35">
      <c r="A10" s="14" t="s">
        <v>194</v>
      </c>
      <c r="B10">
        <v>1</v>
      </c>
    </row>
    <row r="11" spans="1:5" x14ac:dyDescent="0.35">
      <c r="A11" s="14" t="s">
        <v>171</v>
      </c>
      <c r="B11">
        <v>369</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8A1D3-97A3-4DE6-92CE-39DE6679AD28}">
  <dimension ref="A1"/>
  <sheetViews>
    <sheetView showGridLines="0" zoomScale="80" zoomScaleNormal="80" workbookViewId="0">
      <selection activeCell="D43" sqref="D43"/>
    </sheetView>
  </sheetViews>
  <sheetFormatPr defaultRowHeight="14.5" x14ac:dyDescent="0.3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E781A-05D8-438D-AD08-DE0C25D9B60F}">
  <dimension ref="A1:A3"/>
  <sheetViews>
    <sheetView showGridLines="0" topLeftCell="A91" zoomScaleNormal="100" workbookViewId="0">
      <selection activeCell="P7" sqref="P7"/>
    </sheetView>
  </sheetViews>
  <sheetFormatPr defaultRowHeight="14.5" x14ac:dyDescent="0.35"/>
  <sheetData>
    <row r="1" spans="1:1" x14ac:dyDescent="0.35">
      <c r="A1" s="6" t="s">
        <v>167</v>
      </c>
    </row>
    <row r="2" spans="1:1" x14ac:dyDescent="0.35">
      <c r="A2" s="6" t="s">
        <v>168</v>
      </c>
    </row>
    <row r="3" spans="1:1" x14ac:dyDescent="0.35">
      <c r="A3" s="6" t="s">
        <v>185</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98825-0134-40E3-A2FE-7B60474AC0F5}">
  <dimension ref="A1"/>
  <sheetViews>
    <sheetView showGridLines="0" zoomScale="70" zoomScaleNormal="70" workbookViewId="0">
      <selection activeCell="Z20" sqref="Z2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E5C3F-0370-4AE0-9E5E-15662635C8A3}">
  <dimension ref="A1:A3"/>
  <sheetViews>
    <sheetView showGridLines="0" zoomScaleNormal="100" workbookViewId="0">
      <selection activeCell="J12" sqref="J12"/>
    </sheetView>
  </sheetViews>
  <sheetFormatPr defaultRowHeight="14.5" x14ac:dyDescent="0.35"/>
  <sheetData>
    <row r="1" spans="1:1" x14ac:dyDescent="0.35">
      <c r="A1" s="6" t="s">
        <v>167</v>
      </c>
    </row>
    <row r="2" spans="1:1" x14ac:dyDescent="0.35">
      <c r="A2" s="6" t="s">
        <v>168</v>
      </c>
    </row>
    <row r="3" spans="1:1" x14ac:dyDescent="0.35">
      <c r="A3" s="6" t="s">
        <v>196</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DAA2A-A1DD-41FD-B9D2-DB836BD26290}">
  <dimension ref="A1"/>
  <sheetViews>
    <sheetView showGridLines="0" workbookViewId="0">
      <selection activeCell="I27" sqref="I27"/>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Pivot Table Diagram</vt:lpstr>
      <vt:lpstr>Task</vt:lpstr>
      <vt:lpstr>Data (2)</vt:lpstr>
      <vt:lpstr>Pre-Analysis Board</vt:lpstr>
      <vt:lpstr>SALES TREND REPORT</vt:lpstr>
      <vt:lpstr>TOP 10 CUSTOMERS</vt:lpstr>
      <vt:lpstr>SALES BY REP</vt:lpstr>
      <vt:lpstr>SALES BY REGION</vt:lpstr>
      <vt:lpstr>SALES BY PRODUCT CATEGORY</vt:lpstr>
      <vt:lpstr>TOP 5 CITIES BY REVENUE</vt:lpstr>
      <vt:lpstr>STATE PERFORMANCE</vt:lpstr>
      <vt:lpstr>TOP 6 SHIP CITIES BY REVENUE </vt:lpstr>
      <vt:lpstr>TRANSACTION BY AMOUNT</vt:lpstr>
      <vt:lpstr>DASHBOARD SKETCH</vt:lpstr>
      <vt:lpstr>In-Analysis Board</vt:lpstr>
      <vt:lpstr>DASHBOARD INTERFACE</vt:lpstr>
      <vt:lpstr>Post Analysis Board</vt:lpstr>
      <vt:lpstr>Screenshot of Final Dashboard</vt:lpstr>
    </vt:vector>
  </TitlesOfParts>
  <Company>Excel Campus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Zainab Anjorin</dc:creator>
  <cp:lastModifiedBy>Zainab Anjorin</cp:lastModifiedBy>
  <dcterms:created xsi:type="dcterms:W3CDTF">2015-01-21T18:43:03Z</dcterms:created>
  <dcterms:modified xsi:type="dcterms:W3CDTF">2026-03-21T10:03:48Z</dcterms:modified>
</cp:coreProperties>
</file>